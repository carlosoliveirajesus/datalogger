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logger" sheetId="1" state="visible" r:id="rId3"/>
  </sheets>
  <definedNames>
    <definedName function="false" hidden="false" localSheetId="0" name="_xlnm.Print_Titles" vbProcedure="false">datalogger!$1:$1</definedName>
    <definedName function="false" hidden="true" localSheetId="0" name="_xlnm._FilterDatabase" vbProcedure="false">datalogger!$A$1:$O$39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<sst xmlns="http://schemas.openxmlformats.org/spreadsheetml/2006/main" count="446" uniqueCount="382">
  <si>
    <t xml:space="preserve">Name</t>
  </si>
  <si>
    <t xml:space="preserve">Description</t>
  </si>
  <si>
    <t xml:space="preserve">Designator</t>
  </si>
  <si>
    <t xml:space="preserve">Footprint</t>
  </si>
  <si>
    <t xml:space="preserve">LibRef</t>
  </si>
  <si>
    <t xml:space="preserve">Quantity</t>
  </si>
  <si>
    <t xml:space="preserve">Manufacturer</t>
  </si>
  <si>
    <t xml:space="preserve">Justificativa (função, custo, disponibilidade, consumo, encapsulamento)</t>
  </si>
  <si>
    <t xml:space="preserve">Mouser #</t>
  </si>
  <si>
    <t xml:space="preserve">Preço unit. (US$)</t>
  </si>
  <si>
    <t xml:space="preserve">Subtotal (US$)</t>
  </si>
  <si>
    <t xml:space="preserve">Fonte do preço</t>
  </si>
  <si>
    <t xml:space="preserve">Estoque Mouser</t>
  </si>
  <si>
    <t xml:space="preserve">Link Mouser</t>
  </si>
  <si>
    <t xml:space="preserve">Observações</t>
  </si>
  <si>
    <t xml:space="preserve">GRM219R61E475KA73D</t>
  </si>
  <si>
    <t xml:space="preserve">Chip Multilayer Ceramic Capacitors for General Purpose, 0805, 4.7uF, X5R, 15%, 10%, 25V</t>
  </si>
  <si>
    <t xml:space="preserve">C1</t>
  </si>
  <si>
    <t xml:space="preserve">FP-GRM219-0_15-0_1-IPC_C</t>
  </si>
  <si>
    <t xml:space="preserve">CMP-06035-041247-1</t>
  </si>
  <si>
    <t xml:space="preserve">Murata</t>
  </si>
  <si>
    <t xml:space="preserve">VBUS do USB-C (entrada 5 V). 25 V dá folga sobre os 5 V mesmo com o derating de tensão do X5R; 0805 mantém ~4,7 µF efetivos. Murata: fornecedor de referência, alta disponibilidade.</t>
  </si>
  <si>
    <t xml:space="preserve">estimado (ver obs.)</t>
  </si>
  <si>
    <t xml:space="preserve">https://www.mouser.com/c/?q=GRM219R61E475KA73D</t>
  </si>
  <si>
    <t xml:space="preserve">Não achado na busca da Mouser US; MLCC 0805 4,7 µF 25 V custa ~US$ 0,20–0,30. Equivalentes na Mouser: GRM219R61E475KA73L.</t>
  </si>
  <si>
    <t xml:space="preserve">GRM21BZ71E106KE15K</t>
  </si>
  <si>
    <t xml:space="preserve">Chip Multilayer Ceramic Capacitors for General Purpose, 0805, 10uF, X7R, 15%, 10%, 25V</t>
  </si>
  <si>
    <t xml:space="preserve">C2, C3, C4, C10, C22, C24</t>
  </si>
  <si>
    <t xml:space="preserve">FP-GRM21B-0_2-e0_2_0_7-IPC_B</t>
  </si>
  <si>
    <t xml:space="preserve">CMP-06035-042430-1</t>
  </si>
  <si>
    <t xml:space="preserve">Bulk de entrada/saída do TPS63001 (C2–C4), bulk do MCU (C10), VDDSMPS (C22) e do cartão SD (C24). X7R 25 V em 0805: mantém capacitância efetiva com 3,3–5 V aplicados (o datasheet do TPS63001 pede ≥ 10 µF efetivos na saída).</t>
  </si>
  <si>
    <t xml:space="preserve">81-GRM21BZ71E106KE5L</t>
  </si>
  <si>
    <t xml:space="preserve">Mouser EU (0,292 €)</t>
  </si>
  <si>
    <t xml:space="preserve">0 (backorder, 10 sem.)</t>
  </si>
  <si>
    <t xml:space="preserve">https://www.mouser.com/c/?q=GRM21BZ71E106KE15K</t>
  </si>
  <si>
    <t xml:space="preserve">Mouser vende a variante de embalagem …KE15L (mesma peça). Preço convertido de 0,292 € ≈ US$ 0,32.</t>
  </si>
  <si>
    <t xml:space="preserve">CC0603KRX7R9BB104</t>
  </si>
  <si>
    <t xml:space="preserve">CAP CER 0.1UF 50V X7R 0603</t>
  </si>
  <si>
    <t xml:space="preserve">C5, C6, C9, C11, C12, C18, C19, C20, C21, C23, C26, C27, C28, C29, C30</t>
  </si>
  <si>
    <t xml:space="preserve">FP-CC0603-DA-MFG</t>
  </si>
  <si>
    <t xml:space="preserve">CMP-2100-03601-2</t>
  </si>
  <si>
    <t xml:space="preserve">YAGEO</t>
  </si>
  <si>
    <t xml:space="preserve">Desacoplamento de 100 nF por pino VDD do MCU, sensores, SD e regulador (exigência do enunciado). X7R 50 V 0603: barato, estável e fácil de soldar à mão.</t>
  </si>
  <si>
    <t xml:space="preserve">603-CC603KRX7R9BB104</t>
  </si>
  <si>
    <t xml:space="preserve">Mouser US 24/10/2026</t>
  </si>
  <si>
    <t xml:space="preserve">47 007 403</t>
  </si>
  <si>
    <t xml:space="preserve">https://www.mouser.com/c/?q=CC0603KRX7R9BB104</t>
  </si>
  <si>
    <t xml:space="preserve">US$ 0,042 a partir de 100 un.</t>
  </si>
  <si>
    <t xml:space="preserve">C0402C829D5GACTU</t>
  </si>
  <si>
    <t xml:space="preserve">CAP CER 8.2PF 50V C0G/NP0 0402</t>
  </si>
  <si>
    <t xml:space="preserve">C7, C8</t>
  </si>
  <si>
    <t xml:space="preserve">FP-C0402-BB-MFG</t>
  </si>
  <si>
    <t xml:space="preserve">CMP-1034-00609-3</t>
  </si>
  <si>
    <t xml:space="preserve">Kemet</t>
  </si>
  <si>
    <t xml:space="preserve">Carga do cristal LSE de 32,768 kHz (Y1, CL = 7 pF): CL = C/2 + Cparasita ≈ 8,2/2 + ~3 pF. C0G: capacitância não varia com temperatura/tensão, essencial para a precisão do RTC. 0402 para ficar colado aos pinos.</t>
  </si>
  <si>
    <t xml:space="preserve">80-C0402C829D5GAC (verificar)</t>
  </si>
  <si>
    <t xml:space="preserve">https://www.mouser.com/c/?q=C0402C829D5GACTU</t>
  </si>
  <si>
    <t xml:space="preserve">Não achado na busca da Mouser; C0G 0402 da KEMET custa ~US$ 0,10.</t>
  </si>
  <si>
    <t xml:space="preserve">CC0603KRX7R7BB225</t>
  </si>
  <si>
    <t xml:space="preserve">CAP CER 2.2UF 16V X7R 0603</t>
  </si>
  <si>
    <t xml:space="preserve">C13, C14, C25</t>
  </si>
  <si>
    <t xml:space="preserve">CMP-03422-001238-1</t>
  </si>
  <si>
    <t xml:space="preserve">VDD11 do SMPS interno do STM32U5 (C13, C14: 2 × 2,2 µF, como na Nucleo e na AN do U5) e bulk dos sensores (C25). X7R 16 V 0603.</t>
  </si>
  <si>
    <t xml:space="preserve">603-CC603KRX7R7BB225 (verificar)</t>
  </si>
  <si>
    <t xml:space="preserve">https://www.mouser.com/c/?q=CC0603KRX7R7BB225</t>
  </si>
  <si>
    <t xml:space="preserve">Não achado na busca da Mouser; MLCC 0603 2,2 µF X7R ~US$ 0,10.</t>
  </si>
  <si>
    <t xml:space="preserve">C0402C100C5GACTU</t>
  </si>
  <si>
    <t xml:space="preserve">CAP CER 10PF 50V NP0 0402</t>
  </si>
  <si>
    <t xml:space="preserve">C15, C16</t>
  </si>
  <si>
    <t xml:space="preserve">CMP-2008-03045-2</t>
  </si>
  <si>
    <t xml:space="preserve">Carga do cristal HSE de 16 MHz (Y2, CL = 8 pF): 10 pF/2 + ~3 pF de parasitas ≈ 8 pF. C0G 0402, colado ao cristal.</t>
  </si>
  <si>
    <t xml:space="preserve">80-C0402C100C5GAC (verificar)</t>
  </si>
  <si>
    <t xml:space="preserve">https://www.mouser.com/c/?q=C0402C100C5GACTU</t>
  </si>
  <si>
    <t xml:space="preserve">Não achado na busca da Mouser; C0G 0402 ~US$ 0,10.</t>
  </si>
  <si>
    <t xml:space="preserve">GCM188R71E105KA64D</t>
  </si>
  <si>
    <t xml:space="preserve">CAP CER 1UF 25V X7R 0603 (automotivo)</t>
  </si>
  <si>
    <t xml:space="preserve">C17</t>
  </si>
  <si>
    <t xml:space="preserve">FP-GCM188-0_1-MFG</t>
  </si>
  <si>
    <t xml:space="preserve">CMP-2006-02363-4</t>
  </si>
  <si>
    <t xml:space="preserve">Filtro do VDDA (C17, 1 µF junto com a ferrite FB1 e 100 nF): o enunciado pede filtro no VDDA. X7R 25 V 0603, série automotiva GCM (mais robusta a vibração).</t>
  </si>
  <si>
    <t xml:space="preserve">81-GCM188R71E105KA4D</t>
  </si>
  <si>
    <t xml:space="preserve">Mouser AU (A$ 0,276)</t>
  </si>
  <si>
    <t xml:space="preserve">0 (backorder)</t>
  </si>
  <si>
    <t xml:space="preserve">https://www.mouser.com/c/?q=GCM188R71E105KA64D</t>
  </si>
  <si>
    <t xml:space="preserve">Preço convertido de A$ 0,276 ≈ US$ 0,18.</t>
  </si>
  <si>
    <t xml:space="preserve">B5819W</t>
  </si>
  <si>
    <t xml:space="preserve">Schottky Barrier Rectifier, 40 V, 1 A, -65 to 125 degC, 2-Pin SOD123, RoHS, Tape and Reel</t>
  </si>
  <si>
    <t xml:space="preserve">D1</t>
  </si>
  <si>
    <t xml:space="preserve">MCC-SOD123_V</t>
  </si>
  <si>
    <t xml:space="preserve">CMP-004-00005-2</t>
  </si>
  <si>
    <t xml:space="preserve">Micro Commercial Components</t>
  </si>
  <si>
    <t xml:space="preserve">Schottky que leva o VBUS (5 V do USB-C) ao barramento do sistema (VSYS); 40 V/1 A, queda ~0,45 V, folga para os 5 V. SOD-123 fácil de soldar.</t>
  </si>
  <si>
    <t xml:space="preserve">833-B5819W-TP</t>
  </si>
  <si>
    <t xml:space="preserve">não estocado</t>
  </si>
  <si>
    <t xml:space="preserve">https://www.mouser.com/c/?q=B5819W</t>
  </si>
  <si>
    <t xml:space="preserve">Na Mouser o B5819W-TP (MCC) está "não estocado / fábrica não aceita pedidos". Alternativa no mesmo SOD-123: outro fabricante de B5819W ou SD103AW. Preço típico ~US$ 0,20.</t>
  </si>
  <si>
    <t xml:space="preserve">APT1608SGC</t>
  </si>
  <si>
    <t xml:space="preserve">Super Bright Green LED, 62.5 mW, 25 mA, -40 to 85 degC, 2-Pin SMD, RoHS, Tape and Reel</t>
  </si>
  <si>
    <t xml:space="preserve">D2</t>
  </si>
  <si>
    <t xml:space="preserve">KING-APT1608SGC_V</t>
  </si>
  <si>
    <t xml:space="preserve">CMP-2000-05789-1</t>
  </si>
  <si>
    <t xml:space="preserve">Kingbright</t>
  </si>
  <si>
    <t xml:space="preserve">LED verde de alimentação (3V3) com 1 kΩ: ~1 mA, baixo consumo. 0603, Kingbright: barato e com estoque alto.</t>
  </si>
  <si>
    <t xml:space="preserve">604-APT1608SGC</t>
  </si>
  <si>
    <t xml:space="preserve">309 338</t>
  </si>
  <si>
    <t xml:space="preserve">https://www.mouser.com/c/?q=APT1608SGC</t>
  </si>
  <si>
    <t xml:space="preserve">APT1608EC</t>
  </si>
  <si>
    <t xml:space="preserve">LED RED CLEAR CHIP SMD</t>
  </si>
  <si>
    <t xml:space="preserve">D3</t>
  </si>
  <si>
    <t xml:space="preserve">FP-APT1608EC-MFG</t>
  </si>
  <si>
    <t xml:space="preserve">CMP-2000-05179-2</t>
  </si>
  <si>
    <t xml:space="preserve">LED vermelho de erro (PB7) com 1 kΩ. Mesmo encapsulamento e fornecedor dos outros LEDs.</t>
  </si>
  <si>
    <t xml:space="preserve">604-APT1608EC</t>
  </si>
  <si>
    <t xml:space="preserve">63 692</t>
  </si>
  <si>
    <t xml:space="preserve">https://www.mouser.com/c/?q=APT1608EC</t>
  </si>
  <si>
    <t xml:space="preserve">APT1608QBC/D</t>
  </si>
  <si>
    <t xml:space="preserve">LED BLUE CLEAR CHIP SMD</t>
  </si>
  <si>
    <t xml:space="preserve">D4</t>
  </si>
  <si>
    <t xml:space="preserve">FP-APT1608QBC-D-MFG</t>
  </si>
  <si>
    <t xml:space="preserve">CMP-2000-05788-2</t>
  </si>
  <si>
    <t xml:space="preserve">LED azul de status (PC7) com 330 Ω (Vf ~3 V do azul).</t>
  </si>
  <si>
    <t xml:space="preserve">604-APTD1608QBC/D</t>
  </si>
  <si>
    <t xml:space="preserve">0 (chega 16/11/2026)</t>
  </si>
  <si>
    <t xml:space="preserve">https://www.mouser.com/c/?q=APT1608QBC/D</t>
  </si>
  <si>
    <t xml:space="preserve">A Mouser vende a versão APTD1608QBC/D (mesmo LED azul 0603).</t>
  </si>
  <si>
    <t xml:space="preserve">BLM18PG221SH1D</t>
  </si>
  <si>
    <t xml:space="preserve">Chip Ferrite Bead, 0603, 220Ω @ 100MHz, 0.1Ω, 25%, 1.4A</t>
  </si>
  <si>
    <t xml:space="preserve">FB1</t>
  </si>
  <si>
    <t xml:space="preserve">FP-BLM18-0_15-t0_8-IPC_C</t>
  </si>
  <si>
    <t xml:space="preserve">CMP-06046-000201-1</t>
  </si>
  <si>
    <t xml:space="preserve">Ferrite do VDDA (FB1): 220 Ω @ 100 MHz isola o analógico do ruído do 3V3/SMPS. 1,4 A e 0,1 Ω: queda desprezível.</t>
  </si>
  <si>
    <t xml:space="preserve">81-BLM18PG221SN1D</t>
  </si>
  <si>
    <t xml:space="preserve">234 181</t>
  </si>
  <si>
    <t xml:space="preserve">https://www.mouser.com/c/?q=BLM18PG221SH1D</t>
  </si>
  <si>
    <t xml:space="preserve">Mouser lista a variante …SN1D (mesmas características elétricas).</t>
  </si>
  <si>
    <t xml:space="preserve">USB4105-GF-A</t>
  </si>
  <si>
    <t xml:space="preserve">Conector USB-C 2.0, receptáculo de 16 pinos, montagem SMT/TH</t>
  </si>
  <si>
    <t xml:space="preserve">J1</t>
  </si>
  <si>
    <t xml:space="preserve">GCT_USB4105-GF-A</t>
  </si>
  <si>
    <t xml:space="preserve">GCT</t>
  </si>
  <si>
    <t xml:space="preserve">USB-C 2.0 só de dispositivo (alimentação + dados). GCT USB4105: 16 pinos com fixação TH (resiste a conecta/desconecta), muito estoque e barato.</t>
  </si>
  <si>
    <t xml:space="preserve">640-USB4105-GF-A</t>
  </si>
  <si>
    <t xml:space="preserve">400 448</t>
  </si>
  <si>
    <t xml:space="preserve">https://www.mouser.com/c/?q=USB4105-GF-A</t>
  </si>
  <si>
    <t xml:space="preserve">Na planilha original o Name deste item estava errado (BLM18PG221SH1D): corrigido.</t>
  </si>
  <si>
    <t xml:space="preserve">61300611121</t>
  </si>
  <si>
    <t xml:space="preserve">THT Vertical Pin Header WR-PHD, Pitch 2.54 mm, Single Row, 6 pins</t>
  </si>
  <si>
    <t xml:space="preserve">J2</t>
  </si>
  <si>
    <t xml:space="preserve">CMP-1502-01070-4</t>
  </si>
  <si>
    <t xml:space="preserve">Würth Elektronik</t>
  </si>
  <si>
    <t xml:space="preserve">Conector SWD (6 pinos, 2,54 mm): SWDIO, SWCLK, SWO, NRST, 3V3, GND. Header comum, cabe jumper do ST-LINK.</t>
  </si>
  <si>
    <t xml:space="preserve">710-61300611121 (verificar)</t>
  </si>
  <si>
    <t xml:space="preserve">https://www.mouser.com/c/?q=61300611121</t>
  </si>
  <si>
    <t xml:space="preserve">Mesma série do 61300211121 (US$ 0,13 na Mouser US); 6 pinos ~US$ 0,35.</t>
  </si>
  <si>
    <t xml:space="preserve">61300411121</t>
  </si>
  <si>
    <t xml:space="preserve">THT Vertical Pin Header WR-PHD, Pitch 2.54 mm, Single Row, 4 pins</t>
  </si>
  <si>
    <t xml:space="preserve">J3</t>
  </si>
  <si>
    <t xml:space="preserve">CMP-1502-01064-4</t>
  </si>
  <si>
    <t xml:space="preserve">UART de debug (4 pinos): TX, RX, 3V3, GND.</t>
  </si>
  <si>
    <t xml:space="preserve">710-61300411121 (verificar)</t>
  </si>
  <si>
    <t xml:space="preserve">https://www.mouser.com/c/?q=61300411121</t>
  </si>
  <si>
    <t xml:space="preserve">Mesma série do 61300211121 (US$ 0,13 na Mouser US); 4 pinos ~US$ 0,25.</t>
  </si>
  <si>
    <t xml:space="preserve">DM3AT-SF-PEJM5</t>
  </si>
  <si>
    <t xml:space="preserve">CONN MICRO SD CARD PUSH-PUSH R/A</t>
  </si>
  <si>
    <t xml:space="preserve">J4</t>
  </si>
  <si>
    <t xml:space="preserve">FP-DM3AT-SF-PEJM5-MFG</t>
  </si>
  <si>
    <t xml:space="preserve">CMP-2000-05150-2</t>
  </si>
  <si>
    <t xml:space="preserve">Hirose</t>
  </si>
  <si>
    <t xml:space="preserve">Slot microSD push-push da Hirose (DM3): 8 contatos para SDMMC 4 bits + chave de card detect, montagem de topo, muito usado e com estoque.</t>
  </si>
  <si>
    <t xml:space="preserve">798-DM3AT-SF-PEJM5</t>
  </si>
  <si>
    <t xml:space="preserve">Mouser IN (₹ 339,17)</t>
  </si>
  <si>
    <t xml:space="preserve">73 630</t>
  </si>
  <si>
    <t xml:space="preserve">https://www.mouser.com/c/?q=DM3AT-SF-PEJM5</t>
  </si>
  <si>
    <t xml:space="preserve">Preço convertido de ₹ 339,17 ≈ US$ 3,90.</t>
  </si>
  <si>
    <t xml:space="preserve">VLS3012HBX-2R2M</t>
  </si>
  <si>
    <t xml:space="preserve">FIXED IND 2.2UH 3.15A 106 MOHM</t>
  </si>
  <si>
    <t xml:space="preserve">L1</t>
  </si>
  <si>
    <t xml:space="preserve">FP-VLS3012HBX-MFG</t>
  </si>
  <si>
    <t xml:space="preserve">CMP-08253-000022-1</t>
  </si>
  <si>
    <t xml:space="preserve">TDK</t>
  </si>
  <si>
    <t xml:space="preserve">Indutor do buck-boost TPS63001: 2,2 µH conforme o datasheet, 3,15 A de saturação (folga sobre os picos de corrente), 3 × 3 × 1,2 mm blindado (menos EMI perto dos sensores).</t>
  </si>
  <si>
    <t xml:space="preserve">810-VLS3012HBX-2R2M (verificar)</t>
  </si>
  <si>
    <t xml:space="preserve">https://www.mouser.com/c/?q=VLS3012HBX-2R2M</t>
  </si>
  <si>
    <t xml:space="preserve">Não achado na busca da Mouser; o VLS3012HBX-1R5M custa ₹ 47,77 ≈ US$ 0,55 na Mouser IN.</t>
  </si>
  <si>
    <t xml:space="preserve">LQM21PN2R2MGHL</t>
  </si>
  <si>
    <t xml:space="preserve">Multilayer Type Inductor for Power Lines, 0805 (2012), 2.2μH, 20%, 0.156Ω, 1.7A</t>
  </si>
  <si>
    <t xml:space="preserve">L2</t>
  </si>
  <si>
    <t xml:space="preserve">FP-LQM21PH_G0-IPC_C</t>
  </si>
  <si>
    <t xml:space="preserve">CMP-06042-014073-1</t>
  </si>
  <si>
    <t xml:space="preserve">Indutor do SMPS interno do STM32U5A5 "Q" (2,2 µH, o mesmo da Nucleo MB1549), recomendado pela ST para o VLXSMPS.</t>
  </si>
  <si>
    <t xml:space="preserve">81-LQM21PN2R2MGHL</t>
  </si>
  <si>
    <t xml:space="preserve">Mouser IN (₹ 43,95)</t>
  </si>
  <si>
    <t xml:space="preserve">85 244</t>
  </si>
  <si>
    <t xml:space="preserve">https://www.mouser.com/c/?q=LQM21PN2R2MGHL</t>
  </si>
  <si>
    <t xml:space="preserve">Preço convertido de ₹ 43,95 ≈ US$ 0,50.</t>
  </si>
  <si>
    <t xml:space="preserve">S2B-PH-SM4-TB(LF)(SN)</t>
  </si>
  <si>
    <t xml:space="preserve">Male Header, Pitch 2 mm, 1 x 2 Position, Height 5.5 mm, -25 to 85 degC, RoHS, Tape and Reel</t>
  </si>
  <si>
    <t xml:space="preserve">P1</t>
  </si>
  <si>
    <t xml:space="preserve">JST- S2B-PH-SM4-TB(LF)(SN)-2_V</t>
  </si>
  <si>
    <t xml:space="preserve">CMP-002-00031-2</t>
  </si>
  <si>
    <t xml:space="preserve">JST</t>
  </si>
  <si>
    <t xml:space="preserve">Conector da bateria LiPo 1S: JST-PH 2 mm é o padrão das baterias de hobby; SMD com reforço mecânico.</t>
  </si>
  <si>
    <t xml:space="preserve">306-S2BPHSM4TBLFSN</t>
  </si>
  <si>
    <t xml:space="preserve">91 954</t>
  </si>
  <si>
    <t xml:space="preserve">https://www.mouser.com/c/?q=S2B-PH-SM4-TB%28LF%29%28SN%29</t>
  </si>
  <si>
    <t xml:space="preserve">DMG2305UX-13</t>
  </si>
  <si>
    <t xml:space="preserve">MOSFET P-CH 20V 4.2A SOT23</t>
  </si>
  <si>
    <t xml:space="preserve">Q1</t>
  </si>
  <si>
    <t xml:space="preserve">FP-SOT23-MFG</t>
  </si>
  <si>
    <t xml:space="preserve">CMP-12801-000021-1</t>
  </si>
  <si>
    <t xml:space="preserve">Diodes Inc.</t>
  </si>
  <si>
    <t xml:space="preserve">MOSFET P em função de diodo ideal para a bateria: conduz quando só há a LiPo e é bloqueado pelo VBUS quando a USB está ligada (prioridade da USB). RDS(on) ~ 52 mΩ: queda de poucos mV, aproveita toda a carga da bateria. SOT-23.</t>
  </si>
  <si>
    <t xml:space="preserve">621-DMG2305UX-13</t>
  </si>
  <si>
    <t xml:space="preserve">355</t>
  </si>
  <si>
    <t xml:space="preserve">https://www.mouser.com/c/?q=DMG2305UX-13</t>
  </si>
  <si>
    <t xml:space="preserve">RC0603FR-07100RL</t>
  </si>
  <si>
    <t xml:space="preserve">RES SMD 100 OHM 1% 1/10W 0603</t>
  </si>
  <si>
    <t xml:space="preserve">R1</t>
  </si>
  <si>
    <t xml:space="preserve">FP-RC0603-0_55-MFG</t>
  </si>
  <si>
    <t xml:space="preserve">CMP-2100-03663-2</t>
  </si>
  <si>
    <t xml:space="preserve">Yageo</t>
  </si>
  <si>
    <t xml:space="preserve">100 Ω do filtro RC do VINA do TPS63001 (R1).</t>
  </si>
  <si>
    <t xml:space="preserve">603-RC0603FR-07100RL</t>
  </si>
  <si>
    <t xml:space="preserve">Mouser EU (série)</t>
  </si>
  <si>
    <t xml:space="preserve">https://www.mouser.com/c/?q=RC0603FR-07100RL</t>
  </si>
  <si>
    <t xml:space="preserve">Preço da série RC0603 na Mouser EU (0,103 €); US$ 0,02 em 10+.</t>
  </si>
  <si>
    <t xml:space="preserve">RC0603FR-07100KL</t>
  </si>
  <si>
    <t xml:space="preserve">RES SMD 100K OHM 1% 1/10W 0603</t>
  </si>
  <si>
    <t xml:space="preserve">R2, R5, R6</t>
  </si>
  <si>
    <t xml:space="preserve">CMP-2100-03662-2</t>
  </si>
  <si>
    <t xml:space="preserve">100 kΩ: divisor da tensão da bateria para o ADC (PA0), corrente de ~20 µA; pull-down do gate do MOSFET de seleção.</t>
  </si>
  <si>
    <t xml:space="preserve">603-RC0603FR-07100KL</t>
  </si>
  <si>
    <t xml:space="preserve">https://www.mouser.com/c/?q=RC0603FR-07100KL</t>
  </si>
  <si>
    <t xml:space="preserve">Idem.</t>
  </si>
  <si>
    <t xml:space="preserve">RC0603FR-075K1L</t>
  </si>
  <si>
    <t xml:space="preserve">RES SMD 5.1K OHM 1% 1/10W 0603</t>
  </si>
  <si>
    <t xml:space="preserve">R3, R4</t>
  </si>
  <si>
    <t xml:space="preserve">RESC1608X55X25ML10T15</t>
  </si>
  <si>
    <t xml:space="preserve">CMP-2000-04091-1</t>
  </si>
  <si>
    <t xml:space="preserve">5,1 kΩ em CC1 e CC2 (independentes): identifica a placa como dispositivo (sink) USB-C e libera os 5 V.</t>
  </si>
  <si>
    <t xml:space="preserve">603-RC0603FR-075K1L</t>
  </si>
  <si>
    <t xml:space="preserve">https://www.mouser.com/c/?q=RC0603FR-075K1L</t>
  </si>
  <si>
    <t xml:space="preserve">RC0603FR-0710KL</t>
  </si>
  <si>
    <t xml:space="preserve">RES 10K OHM 1% 1/10W 0603</t>
  </si>
  <si>
    <t xml:space="preserve">R7, R18</t>
  </si>
  <si>
    <t xml:space="preserve">FP-RC0603-0_55-IPC_C</t>
  </si>
  <si>
    <t xml:space="preserve">CMP-2100-03664-2</t>
  </si>
  <si>
    <t xml:space="preserve">10 kΩ: pull-down do BOOT0 (boot pela flash) e do botão de usuário.</t>
  </si>
  <si>
    <t xml:space="preserve">603-RC0603FR-0710KL</t>
  </si>
  <si>
    <t xml:space="preserve">Mouser EU (0,103 €)</t>
  </si>
  <si>
    <t xml:space="preserve">2 960 487</t>
  </si>
  <si>
    <t xml:space="preserve">https://www.mouser.com/c/?q=RC0603FR-0710KL</t>
  </si>
  <si>
    <t xml:space="preserve">Verificado na Mouser EU.</t>
  </si>
  <si>
    <t xml:space="preserve">RC0603FR-074K7L</t>
  </si>
  <si>
    <t xml:space="preserve">Chip Resistor, 4.7 KOhm, +/- 1%, 0.1 W, -55 to 155 degC, 0603 (1608 Metric), RoHS, Tape and Reel</t>
  </si>
  <si>
    <t xml:space="preserve">R8, R9</t>
  </si>
  <si>
    <t xml:space="preserve">RESC1608X55X25LL10T15</t>
  </si>
  <si>
    <t xml:space="preserve">CMP-2000-06942-1</t>
  </si>
  <si>
    <t xml:space="preserve">4,7 kΩ: pull-ups do I2C3 do BME280 (Fast-mode 400 kHz).</t>
  </si>
  <si>
    <t xml:space="preserve">603-RC0603FR-074K7L</t>
  </si>
  <si>
    <t xml:space="preserve">https://www.mouser.com/c/?q=RC0603FR-074K7L</t>
  </si>
  <si>
    <t xml:space="preserve">RC0603FR-0747KL</t>
  </si>
  <si>
    <t xml:space="preserve">RES SMD 47K OHM 1% 1/10W 0603</t>
  </si>
  <si>
    <t xml:space="preserve">R10, R11, R12, R13, R14, R15</t>
  </si>
  <si>
    <t xml:space="preserve">FP-RC0603FR-0747KL-MFG</t>
  </si>
  <si>
    <t xml:space="preserve">CMP-1659-00055-2</t>
  </si>
  <si>
    <t xml:space="preserve">47 kΩ: pull-ups do CMD e de D0–D3 do SDMMC (padrão da especificação SD).</t>
  </si>
  <si>
    <t xml:space="preserve">603-RC0603FR-0747KL</t>
  </si>
  <si>
    <t xml:space="preserve">https://www.mouser.com/c/?q=RC0603FR-0747KL</t>
  </si>
  <si>
    <t xml:space="preserve">RC0603FR-0733RL</t>
  </si>
  <si>
    <t xml:space="preserve">Chip Resistor, 33 Ohm, +/- 1%, 0.1 W, -55 to 155 degC, 0603 (1608 Metric), RoHS, Tape and Reel</t>
  </si>
  <si>
    <t xml:space="preserve">R16</t>
  </si>
  <si>
    <t xml:space="preserve">CMP-2000-06939-1</t>
  </si>
  <si>
    <t xml:space="preserve">33 Ω em série no clock do SD (SD_CK): amortece reflexões e reduz EMI.</t>
  </si>
  <si>
    <t xml:space="preserve">603-RC0603FR-0733RL</t>
  </si>
  <si>
    <t xml:space="preserve">https://www.mouser.com/c/?q=RC0603FR-0733RL</t>
  </si>
  <si>
    <t xml:space="preserve">RC0603FR-071KL</t>
  </si>
  <si>
    <t xml:space="preserve">RES 1K OHM 1% 1/10W 0603</t>
  </si>
  <si>
    <t xml:space="preserve">R17, R19</t>
  </si>
  <si>
    <t xml:space="preserve">CMP-1659-00009-5</t>
  </si>
  <si>
    <t xml:space="preserve">1 kΩ dos LEDs verde e vermelho (~1 mA).</t>
  </si>
  <si>
    <t xml:space="preserve">603-RC0603FR-071KL</t>
  </si>
  <si>
    <t xml:space="preserve">https://www.mouser.com/c/?q=RC0603FR-071KL</t>
  </si>
  <si>
    <t xml:space="preserve">RT0603FRE07330RL</t>
  </si>
  <si>
    <t xml:space="preserve">RES SMD 330 OHM 1% 1/10W 0603</t>
  </si>
  <si>
    <t xml:space="preserve">R20</t>
  </si>
  <si>
    <t xml:space="preserve">FP-RT0603-MFG</t>
  </si>
  <si>
    <t xml:space="preserve">CMP-03412-006947-1</t>
  </si>
  <si>
    <t xml:space="preserve">330 Ω do LED azul (Vf maior, ~1 mA).</t>
  </si>
  <si>
    <t xml:space="preserve">603-RT0603FRE07330RL</t>
  </si>
  <si>
    <t xml:space="preserve">https://www.mouser.com/c/?q=RT0603FRE07330RL</t>
  </si>
  <si>
    <t xml:space="preserve">JS102011SAQN</t>
  </si>
  <si>
    <t xml:space="preserve">SWITCH SLIDE SPDT 300MA 6V</t>
  </si>
  <si>
    <t xml:space="preserve">SW1</t>
  </si>
  <si>
    <t xml:space="preserve">FP-JS102011SAQN-MFG</t>
  </si>
  <si>
    <t xml:space="preserve">CMP-2000-06501-2</t>
  </si>
  <si>
    <t xml:space="preserve">C&amp;K</t>
  </si>
  <si>
    <t xml:space="preserve">Chave liga/desliga no EN do TPS63001: corta o regulador sem passar a corrente da carga pela chave (300 mA não seria suficiente no caminho de potência).</t>
  </si>
  <si>
    <t xml:space="preserve">611-JS102011SAQN</t>
  </si>
  <si>
    <t xml:space="preserve">39 473</t>
  </si>
  <si>
    <t xml:space="preserve">https://www.mouser.com/c/?q=JS102011SAQN</t>
  </si>
  <si>
    <t xml:space="preserve">B3U-1000P</t>
  </si>
  <si>
    <t xml:space="preserve">Tactile Switch, SPST-NO, 0.05 A, 12 V, -25 to 70 degC, 2-Pin SMD, RoHS, Tape and Reel</t>
  </si>
  <si>
    <t xml:space="preserve">SW2, SW3, SW4</t>
  </si>
  <si>
    <t xml:space="preserve">OMRON-B3U-1000_V</t>
  </si>
  <si>
    <t xml:space="preserve">CMP-011-00000-2</t>
  </si>
  <si>
    <t xml:space="preserve">Omron Electronic Components</t>
  </si>
  <si>
    <t xml:space="preserve">Botões de reset, BOOT/usuário: Omron B3U ultracompacto SMD.</t>
  </si>
  <si>
    <t xml:space="preserve">653-B3U-1000P</t>
  </si>
  <si>
    <t xml:space="preserve">54 184</t>
  </si>
  <si>
    <t xml:space="preserve">https://www.mouser.com/c/?q=B3U-1000P</t>
  </si>
  <si>
    <t xml:space="preserve">TPS63001DRCRG4</t>
  </si>
  <si>
    <t xml:space="preserve">Buck-Boost Voltage Converter with 1.8 to 5.5 V Input and 3.3 V Output, -40 to 85 degC, 10-Pin SON (DRC), Green (RoHS &amp; no Sb/Br)</t>
  </si>
  <si>
    <t xml:space="preserve">U1</t>
  </si>
  <si>
    <t xml:space="preserve">DRC10-2400X1650TP</t>
  </si>
  <si>
    <t xml:space="preserve">CMP-0345-00003-1</t>
  </si>
  <si>
    <t xml:space="preserve">Texas Instruments</t>
  </si>
  <si>
    <t xml:space="preserve">Buck-boost 3,3 V: cobre toda a faixa da LiPo 1S (3,0–4,2 V, abaixo e acima de 3,3 V) e os 5 V do USB com ~90 % de eficiência; um LDO não regularia com a bateria abaixo de ~3,4 V. 1,2 A de saída, SON-10 3 × 3 mm.</t>
  </si>
  <si>
    <t xml:space="preserve">595-TPS63001DRCR</t>
  </si>
  <si>
    <t xml:space="preserve">4 776</t>
  </si>
  <si>
    <t xml:space="preserve">https://www.mouser.com/c/?q=TPS63001DRCRG4</t>
  </si>
  <si>
    <t xml:space="preserve">Mouser vende a TPS63001DRCR (o sufixo G4 é só a marcação "green" da mesma peça).</t>
  </si>
  <si>
    <t xml:space="preserve">USBLC6-2SC6</t>
  </si>
  <si>
    <t xml:space="preserve">17V Clamp 5A (8/20µs) Ipp Tvs Diode Surface Mount SOT-23-6</t>
  </si>
  <si>
    <t xml:space="preserve">U2</t>
  </si>
  <si>
    <t xml:space="preserve">SOT95P280X145-6N</t>
  </si>
  <si>
    <t xml:space="preserve">STMicroelectronics</t>
  </si>
  <si>
    <t xml:space="preserve">Proteção ESD do USB (D+, D−, VBUS), exigida pelo enunciado. Baixa capacitância (~3,5 pF), não degrada o USB 2.0.</t>
  </si>
  <si>
    <t xml:space="preserve">511-USBLC6-2SC6</t>
  </si>
  <si>
    <t xml:space="preserve">204 035</t>
  </si>
  <si>
    <t xml:space="preserve">https://www.mouser.com/c/?q=USBLC6-2SC6</t>
  </si>
  <si>
    <t xml:space="preserve">STM32U5A5RJT6Q</t>
  </si>
  <si>
    <t xml:space="preserve">ARM Microcontrollers - MCU Ultra-low-power FPU Arm Cortex-M33 MCU TrustZone, 160</t>
  </si>
  <si>
    <t xml:space="preserve">U3</t>
  </si>
  <si>
    <t xml:space="preserve">LQFP64-5W_MFG</t>
  </si>
  <si>
    <t xml:space="preserve">CMP-00355-135308217-1</t>
  </si>
  <si>
    <t xml:space="preserve">MCU Cortex-M33 160 MHz, 4 MB de flash e 2,5 MB de RAM (buffers grandes), SDMMC, SPI, I2C e USB; ultra-low-power; versão "Q" com SMPS (menos consumo). LQFP64 é soldável à mão e é a mesma família da Nucleo usada no protótipo.</t>
  </si>
  <si>
    <t xml:space="preserve">não listado</t>
  </si>
  <si>
    <t xml:space="preserve">ST eStore</t>
  </si>
  <si>
    <t xml:space="preserve">https://www.mouser.com/c/?q=STM32U5A5RJT6Q</t>
  </si>
  <si>
    <t xml:space="preserve">Não encontrado na Mouser em 24/10/2026; preço do ST eStore. Na Mouser há o STM32U5A5QJI6Q (UFBGA, US$ 17,73, sem estoque).</t>
  </si>
  <si>
    <t xml:space="preserve">LSM6DSOXTR</t>
  </si>
  <si>
    <t xml:space="preserve">INEMO INERTIAL MODULE: 3D ACCELE</t>
  </si>
  <si>
    <t xml:space="preserve">U4</t>
  </si>
  <si>
    <t xml:space="preserve">FP-LGA-14L-DM00249496-MFG</t>
  </si>
  <si>
    <t xml:space="preserve">CMP-12177-000010-1</t>
  </si>
  <si>
    <t xml:space="preserve">IMU 6 eixos com SPI até 10 MHz e INT de data-ready (exigências do enunciado); ±16 g/±2000 dps, ODR até 6,6 kHz, 0,55 mA em alto desempenho. LGA-14 2,5 × 3 mm.</t>
  </si>
  <si>
    <t xml:space="preserve">511-LSM6DSOXTR</t>
  </si>
  <si>
    <t xml:space="preserve">4 536</t>
  </si>
  <si>
    <t xml:space="preserve">https://www.mouser.com/c/?q=LSM6DSOXTR</t>
  </si>
  <si>
    <t xml:space="preserve">BME280</t>
  </si>
  <si>
    <t xml:space="preserve">SENSOR PRESSURE HUMIDITY TEMP</t>
  </si>
  <si>
    <t xml:space="preserve">U5</t>
  </si>
  <si>
    <t xml:space="preserve">FP-BME280-MFG</t>
  </si>
  <si>
    <t xml:space="preserve">CMP-2000-05073-3</t>
  </si>
  <si>
    <t xml:space="preserve">Bosch Sensortec</t>
  </si>
  <si>
    <t xml:space="preserve">Sensor T/UR/P em I2C (sugerido no enunciado): ±1 hPa, ±3 % UR, ±1 °C; 3,6 µA a 1 Hz. LGA 2,5 × 2,5 mm.</t>
  </si>
  <si>
    <t xml:space="preserve">262-BME280</t>
  </si>
  <si>
    <t xml:space="preserve">0 (chega nov/2026)</t>
  </si>
  <si>
    <t xml:space="preserve">https://www.mouser.com/c/?q=BME280</t>
  </si>
  <si>
    <t xml:space="preserve">ABS07-32.768KHZ-7-T</t>
  </si>
  <si>
    <t xml:space="preserve">Crystal 32.768kHz ±20ppm (Tol) 7pF FUND 70kΩ 2-Pin CSMD T/R</t>
  </si>
  <si>
    <t xml:space="preserve">Y1</t>
  </si>
  <si>
    <t xml:space="preserve">FP-ABS07-MFG</t>
  </si>
  <si>
    <t xml:space="preserve">CMP-27762-014373-1</t>
  </si>
  <si>
    <t xml:space="preserve">Abracon</t>
  </si>
  <si>
    <t xml:space="preserve">Cristal LSE para o RTC (timestamps absolutos no futuro), CL = 7 pF compatível com o drive do STM32U5 (Medium High), 3,2 × 1,5 mm.</t>
  </si>
  <si>
    <t xml:space="preserve">815-ABS07-32.768K7T</t>
  </si>
  <si>
    <t xml:space="preserve">74 448</t>
  </si>
  <si>
    <t xml:space="preserve">https://www.mouser.com/c/?q=ABS07-32.768KHZ-7-T</t>
  </si>
  <si>
    <t xml:space="preserve">ABM11W-16.0000MHZ-8-K1Z-T3</t>
  </si>
  <si>
    <t xml:space="preserve">Crystal 16MHz ±10ppm 8pF SMD-4 2mm x 1.6mm</t>
  </si>
  <si>
    <t xml:space="preserve">Y2</t>
  </si>
  <si>
    <t xml:space="preserve">FP-ABM11W-MFG</t>
  </si>
  <si>
    <t xml:space="preserve">CMP-27762-006513-1</t>
  </si>
  <si>
    <t xml:space="preserve">Cristal HSE de 16 MHz (±10 ppm) para o PLL de 160 MHz e o USB; 2,0 × 1,6 mm, CL = 8 pF.</t>
  </si>
  <si>
    <t xml:space="preserve">815-11W16-8B1UT</t>
  </si>
  <si>
    <t xml:space="preserve">2 372</t>
  </si>
  <si>
    <t xml:space="preserve">https://www.mouser.com/c/?q=ABM11W-16.0000MHZ-8-K1Z-T3</t>
  </si>
  <si>
    <t xml:space="preserve">Mouser lista a variante …-8-B1U-T3 (mesmo 16 MHz, 8 pF, ±10 ppm).</t>
  </si>
  <si>
    <t xml:space="preserve">Total (1 placa)</t>
  </si>
  <si>
    <t xml:space="preserve">Preços em US$ para 1 placa (quantidade 1), consultados na Mouser em 24/10/2026. Células amarelas: preço de outra loja Mouser convertido, ou estimado pela mesma série; ver Observações. Não inclui PCB, montagem, frete e impostos de importação.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</si>
</sst>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US$ &quot;#,##0.00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u val="single"/>
      <sz val="11"/>
      <color rgb="FF0563C1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3D3D3"/>
        <bgColor rgb="FFC0C0C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com/c/?q=GRM219R61E475KA73D" TargetMode="External"/><Relationship Id="rId2" Type="http://schemas.openxmlformats.org/officeDocument/2006/relationships/hyperlink" Target="https://www.mouser.com/c/?q=GRM21BZ71E106KE15K" TargetMode="External"/><Relationship Id="rId3" Type="http://schemas.openxmlformats.org/officeDocument/2006/relationships/hyperlink" Target="https://www.mouser.com/c/?q=CC0603KRX7R9BB104" TargetMode="External"/><Relationship Id="rId4" Type="http://schemas.openxmlformats.org/officeDocument/2006/relationships/hyperlink" Target="https://www.mouser.com/c/?q=C0402C829D5GACTU" TargetMode="External"/><Relationship Id="rId5" Type="http://schemas.openxmlformats.org/officeDocument/2006/relationships/hyperlink" Target="https://www.mouser.com/c/?q=CC0603KRX7R7BB225" TargetMode="External"/><Relationship Id="rId6" Type="http://schemas.openxmlformats.org/officeDocument/2006/relationships/hyperlink" Target="https://www.mouser.com/c/?q=C0402C100C5GACTU" TargetMode="External"/><Relationship Id="rId7" Type="http://schemas.openxmlformats.org/officeDocument/2006/relationships/hyperlink" Target="https://www.mouser.com/c/?q=GCM188R71E105KA64D" TargetMode="External"/><Relationship Id="rId8" Type="http://schemas.openxmlformats.org/officeDocument/2006/relationships/hyperlink" Target="https://www.mouser.com/c/?q=B5819W" TargetMode="External"/><Relationship Id="rId9" Type="http://schemas.openxmlformats.org/officeDocument/2006/relationships/hyperlink" Target="https://www.mouser.com/c/?q=APT1608SGC" TargetMode="External"/><Relationship Id="rId10" Type="http://schemas.openxmlformats.org/officeDocument/2006/relationships/hyperlink" Target="https://www.mouser.com/c/?q=APT1608EC" TargetMode="External"/><Relationship Id="rId11" Type="http://schemas.openxmlformats.org/officeDocument/2006/relationships/hyperlink" Target="https://www.mouser.com/c/?q=APT1608QBC/D" TargetMode="External"/><Relationship Id="rId12" Type="http://schemas.openxmlformats.org/officeDocument/2006/relationships/hyperlink" Target="https://www.mouser.com/c/?q=BLM18PG221SH1D" TargetMode="External"/><Relationship Id="rId13" Type="http://schemas.openxmlformats.org/officeDocument/2006/relationships/hyperlink" Target="https://www.mouser.com/c/?q=USB4105-GF-A" TargetMode="External"/><Relationship Id="rId14" Type="http://schemas.openxmlformats.org/officeDocument/2006/relationships/hyperlink" Target="https://www.mouser.com/c/?q=61300611121" TargetMode="External"/><Relationship Id="rId15" Type="http://schemas.openxmlformats.org/officeDocument/2006/relationships/hyperlink" Target="https://www.mouser.com/c/?q=61300411121" TargetMode="External"/><Relationship Id="rId16" Type="http://schemas.openxmlformats.org/officeDocument/2006/relationships/hyperlink" Target="https://www.mouser.com/c/?q=DM3AT-SF-PEJM5" TargetMode="External"/><Relationship Id="rId17" Type="http://schemas.openxmlformats.org/officeDocument/2006/relationships/hyperlink" Target="https://www.mouser.com/c/?q=VLS3012HBX-2R2M" TargetMode="External"/><Relationship Id="rId18" Type="http://schemas.openxmlformats.org/officeDocument/2006/relationships/hyperlink" Target="https://www.mouser.com/c/?q=LQM21PN2R2MGHL" TargetMode="External"/><Relationship Id="rId19" Type="http://schemas.openxmlformats.org/officeDocument/2006/relationships/hyperlink" Target="https://www.mouser.com/c/?q=S2B-PH-SM4-TB%28LF%29%28SN%29" TargetMode="External"/><Relationship Id="rId20" Type="http://schemas.openxmlformats.org/officeDocument/2006/relationships/hyperlink" Target="https://www.mouser.com/c/?q=DMG2305UX-13" TargetMode="External"/><Relationship Id="rId21" Type="http://schemas.openxmlformats.org/officeDocument/2006/relationships/hyperlink" Target="https://www.mouser.com/c/?q=RC0603FR-07100RL" TargetMode="External"/><Relationship Id="rId22" Type="http://schemas.openxmlformats.org/officeDocument/2006/relationships/hyperlink" Target="https://www.mouser.com/c/?q=RC0603FR-07100KL" TargetMode="External"/><Relationship Id="rId23" Type="http://schemas.openxmlformats.org/officeDocument/2006/relationships/hyperlink" Target="https://www.mouser.com/c/?q=RC0603FR-075K1L" TargetMode="External"/><Relationship Id="rId24" Type="http://schemas.openxmlformats.org/officeDocument/2006/relationships/hyperlink" Target="https://www.mouser.com/c/?q=RC0603FR-0710KL" TargetMode="External"/><Relationship Id="rId25" Type="http://schemas.openxmlformats.org/officeDocument/2006/relationships/hyperlink" Target="https://www.mouser.com/c/?q=RC0603FR-074K7L" TargetMode="External"/><Relationship Id="rId26" Type="http://schemas.openxmlformats.org/officeDocument/2006/relationships/hyperlink" Target="https://www.mouser.com/c/?q=RC0603FR-0747KL" TargetMode="External"/><Relationship Id="rId27" Type="http://schemas.openxmlformats.org/officeDocument/2006/relationships/hyperlink" Target="https://www.mouser.com/c/?q=RC0603FR-0733RL" TargetMode="External"/><Relationship Id="rId28" Type="http://schemas.openxmlformats.org/officeDocument/2006/relationships/hyperlink" Target="https://www.mouser.com/c/?q=RC0603FR-071KL" TargetMode="External"/><Relationship Id="rId29" Type="http://schemas.openxmlformats.org/officeDocument/2006/relationships/hyperlink" Target="https://www.mouser.com/c/?q=RT0603FRE07330RL" TargetMode="External"/><Relationship Id="rId30" Type="http://schemas.openxmlformats.org/officeDocument/2006/relationships/hyperlink" Target="https://www.mouser.com/c/?q=JS102011SAQN" TargetMode="External"/><Relationship Id="rId31" Type="http://schemas.openxmlformats.org/officeDocument/2006/relationships/hyperlink" Target="https://www.mouser.com/c/?q=B3U-1000P" TargetMode="External"/><Relationship Id="rId32" Type="http://schemas.openxmlformats.org/officeDocument/2006/relationships/hyperlink" Target="https://www.mouser.com/c/?q=TPS63001DRCRG4" TargetMode="External"/><Relationship Id="rId33" Type="http://schemas.openxmlformats.org/officeDocument/2006/relationships/hyperlink" Target="https://www.mouser.com/c/?q=USBLC6-2SC6" TargetMode="External"/><Relationship Id="rId34" Type="http://schemas.openxmlformats.org/officeDocument/2006/relationships/hyperlink" Target="https://www.mouser.com/c/?q=STM32U5A5RJT6Q" TargetMode="External"/><Relationship Id="rId35" Type="http://schemas.openxmlformats.org/officeDocument/2006/relationships/hyperlink" Target="https://www.mouser.com/c/?q=LSM6DSOXTR" TargetMode="External"/><Relationship Id="rId36" Type="http://schemas.openxmlformats.org/officeDocument/2006/relationships/hyperlink" Target="https://www.mouser.com/c/?q=BME280" TargetMode="External"/><Relationship Id="rId37" Type="http://schemas.openxmlformats.org/officeDocument/2006/relationships/hyperlink" Target="https://www.mouser.com/c/?q=ABS07-32.768KHZ-7-T" TargetMode="External"/><Relationship Id="rId38" Type="http://schemas.openxmlformats.org/officeDocument/2006/relationships/hyperlink" Target="https://www.mouser.com/c/?q=ABM11W-16.0000MHZ-8-K1Z-T3" TargetMode="External"/><Relationship Id="rId39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2" activeCellId="0" sqref="A2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4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24"/>
    <col collapsed="false" customWidth="true" hidden="false" outlineLevel="0" max="11" min="10" style="0" width="12"/>
    <col collapsed="false" customWidth="true" hidden="false" outlineLevel="0" max="12" min="12" style="0" width="20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15" min="15" style="0" width="50"/>
  </cols>
  <sheetData>
    <row r="1" s="3" customFormat="tru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44" hidden="false" customHeight="false" outlineLevel="0" collapsed="false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n">
        <v>1</v>
      </c>
      <c r="G2" s="4" t="s">
        <v>20</v>
      </c>
      <c r="H2" s="5" t="s">
        <v>21</v>
      </c>
      <c r="I2" s="5"/>
      <c r="J2" s="6" t="n">
        <v>0.25</v>
      </c>
      <c r="K2" s="7" t="n">
        <f aca="false">F2*J2</f>
        <v>0.25</v>
      </c>
      <c r="L2" s="8" t="s">
        <v>22</v>
      </c>
      <c r="M2" s="5"/>
      <c r="N2" s="9" t="s">
        <v>23</v>
      </c>
      <c r="O2" s="5" t="s">
        <v>24</v>
      </c>
    </row>
    <row r="3" customFormat="false" ht="44" hidden="false" customHeight="false" outlineLevel="0" collapsed="false">
      <c r="A3" s="4" t="s">
        <v>25</v>
      </c>
      <c r="B3" s="4" t="s">
        <v>26</v>
      </c>
      <c r="C3" s="4" t="s">
        <v>27</v>
      </c>
      <c r="D3" s="4" t="s">
        <v>28</v>
      </c>
      <c r="E3" s="4" t="s">
        <v>29</v>
      </c>
      <c r="F3" s="4" t="n">
        <v>6</v>
      </c>
      <c r="G3" s="4" t="s">
        <v>20</v>
      </c>
      <c r="H3" s="5" t="s">
        <v>30</v>
      </c>
      <c r="I3" s="5" t="s">
        <v>31</v>
      </c>
      <c r="J3" s="6" t="n">
        <v>0.32</v>
      </c>
      <c r="K3" s="7" t="n">
        <f aca="false">F3*J3</f>
        <v>1.92</v>
      </c>
      <c r="L3" s="8" t="s">
        <v>32</v>
      </c>
      <c r="M3" s="5" t="s">
        <v>33</v>
      </c>
      <c r="N3" s="9" t="s">
        <v>34</v>
      </c>
      <c r="O3" s="5" t="s">
        <v>35</v>
      </c>
    </row>
    <row r="4" customFormat="false" ht="44" hidden="false" customHeight="fals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n">
        <v>15</v>
      </c>
      <c r="G4" s="4" t="s">
        <v>41</v>
      </c>
      <c r="H4" s="5" t="s">
        <v>42</v>
      </c>
      <c r="I4" s="5" t="s">
        <v>43</v>
      </c>
      <c r="J4" s="7" t="n">
        <v>0.18</v>
      </c>
      <c r="K4" s="7" t="n">
        <f aca="false">F4*J4</f>
        <v>2.7</v>
      </c>
      <c r="L4" s="5" t="s">
        <v>44</v>
      </c>
      <c r="M4" s="5" t="s">
        <v>45</v>
      </c>
      <c r="N4" s="9" t="s">
        <v>46</v>
      </c>
      <c r="O4" s="5" t="s">
        <v>47</v>
      </c>
    </row>
    <row r="5" customFormat="false" ht="44" hidden="false" customHeight="false" outlineLevel="0" collapsed="false">
      <c r="A5" s="4" t="s">
        <v>48</v>
      </c>
      <c r="B5" s="4" t="s">
        <v>49</v>
      </c>
      <c r="C5" s="4" t="s">
        <v>50</v>
      </c>
      <c r="D5" s="4" t="s">
        <v>51</v>
      </c>
      <c r="E5" s="4" t="s">
        <v>52</v>
      </c>
      <c r="F5" s="4" t="n">
        <v>2</v>
      </c>
      <c r="G5" s="4" t="s">
        <v>53</v>
      </c>
      <c r="H5" s="5" t="s">
        <v>54</v>
      </c>
      <c r="I5" s="5" t="s">
        <v>55</v>
      </c>
      <c r="J5" s="6" t="n">
        <v>0.1</v>
      </c>
      <c r="K5" s="7" t="n">
        <f aca="false">F5*J5</f>
        <v>0.2</v>
      </c>
      <c r="L5" s="8" t="s">
        <v>22</v>
      </c>
      <c r="M5" s="5"/>
      <c r="N5" s="9" t="s">
        <v>56</v>
      </c>
      <c r="O5" s="5" t="s">
        <v>57</v>
      </c>
    </row>
    <row r="6" customFormat="false" ht="29.85" hidden="false" customHeight="false" outlineLevel="0" collapsed="false">
      <c r="A6" s="4" t="s">
        <v>58</v>
      </c>
      <c r="B6" s="4" t="s">
        <v>59</v>
      </c>
      <c r="C6" s="4" t="s">
        <v>60</v>
      </c>
      <c r="D6" s="4" t="s">
        <v>39</v>
      </c>
      <c r="E6" s="4" t="s">
        <v>61</v>
      </c>
      <c r="F6" s="4" t="n">
        <v>3</v>
      </c>
      <c r="G6" s="4" t="s">
        <v>41</v>
      </c>
      <c r="H6" s="5" t="s">
        <v>62</v>
      </c>
      <c r="I6" s="5" t="s">
        <v>63</v>
      </c>
      <c r="J6" s="6" t="n">
        <v>0.1</v>
      </c>
      <c r="K6" s="7" t="n">
        <f aca="false">F6*J6</f>
        <v>0.3</v>
      </c>
      <c r="L6" s="8" t="s">
        <v>22</v>
      </c>
      <c r="M6" s="5"/>
      <c r="N6" s="9" t="s">
        <v>64</v>
      </c>
      <c r="O6" s="5" t="s">
        <v>65</v>
      </c>
    </row>
    <row r="7" customFormat="false" ht="29.85" hidden="false" customHeight="false" outlineLevel="0" collapsed="false">
      <c r="A7" s="4" t="s">
        <v>66</v>
      </c>
      <c r="B7" s="4" t="s">
        <v>67</v>
      </c>
      <c r="C7" s="4" t="s">
        <v>68</v>
      </c>
      <c r="D7" s="4" t="s">
        <v>51</v>
      </c>
      <c r="E7" s="4" t="s">
        <v>69</v>
      </c>
      <c r="F7" s="4" t="n">
        <v>2</v>
      </c>
      <c r="G7" s="4" t="s">
        <v>53</v>
      </c>
      <c r="H7" s="5" t="s">
        <v>70</v>
      </c>
      <c r="I7" s="5" t="s">
        <v>71</v>
      </c>
      <c r="J7" s="6" t="n">
        <v>0.1</v>
      </c>
      <c r="K7" s="7" t="n">
        <f aca="false">F7*J7</f>
        <v>0.2</v>
      </c>
      <c r="L7" s="8" t="s">
        <v>22</v>
      </c>
      <c r="M7" s="5"/>
      <c r="N7" s="9" t="s">
        <v>72</v>
      </c>
      <c r="O7" s="5" t="s">
        <v>73</v>
      </c>
    </row>
    <row r="8" customFormat="false" ht="29.85" hidden="false" customHeight="false" outlineLevel="0" collapsed="false">
      <c r="A8" s="4" t="s">
        <v>74</v>
      </c>
      <c r="B8" s="4" t="s">
        <v>75</v>
      </c>
      <c r="C8" s="4" t="s">
        <v>76</v>
      </c>
      <c r="D8" s="4" t="s">
        <v>77</v>
      </c>
      <c r="E8" s="4" t="s">
        <v>78</v>
      </c>
      <c r="F8" s="4" t="n">
        <v>1</v>
      </c>
      <c r="G8" s="4" t="s">
        <v>20</v>
      </c>
      <c r="H8" s="5" t="s">
        <v>79</v>
      </c>
      <c r="I8" s="5" t="s">
        <v>80</v>
      </c>
      <c r="J8" s="6" t="n">
        <v>0.18</v>
      </c>
      <c r="K8" s="7" t="n">
        <f aca="false">F8*J8</f>
        <v>0.18</v>
      </c>
      <c r="L8" s="8" t="s">
        <v>81</v>
      </c>
      <c r="M8" s="5" t="s">
        <v>82</v>
      </c>
      <c r="N8" s="9" t="s">
        <v>83</v>
      </c>
      <c r="O8" s="5" t="s">
        <v>84</v>
      </c>
    </row>
    <row r="9" customFormat="false" ht="44" hidden="false" customHeight="false" outlineLevel="0" collapsed="false">
      <c r="A9" s="4" t="s">
        <v>85</v>
      </c>
      <c r="B9" s="4" t="s">
        <v>86</v>
      </c>
      <c r="C9" s="4" t="s">
        <v>87</v>
      </c>
      <c r="D9" s="4" t="s">
        <v>88</v>
      </c>
      <c r="E9" s="4" t="s">
        <v>89</v>
      </c>
      <c r="F9" s="4" t="n">
        <v>1</v>
      </c>
      <c r="G9" s="4" t="s">
        <v>90</v>
      </c>
      <c r="H9" s="5" t="s">
        <v>91</v>
      </c>
      <c r="I9" s="5" t="s">
        <v>92</v>
      </c>
      <c r="J9" s="6" t="n">
        <v>0.2</v>
      </c>
      <c r="K9" s="7" t="n">
        <f aca="false">F9*J9</f>
        <v>0.2</v>
      </c>
      <c r="L9" s="8" t="s">
        <v>22</v>
      </c>
      <c r="M9" s="5" t="s">
        <v>93</v>
      </c>
      <c r="N9" s="9" t="s">
        <v>94</v>
      </c>
      <c r="O9" s="5" t="s">
        <v>95</v>
      </c>
    </row>
    <row r="10" customFormat="false" ht="29.85" hidden="false" customHeight="false" outlineLevel="0" collapsed="false">
      <c r="A10" s="4" t="s">
        <v>96</v>
      </c>
      <c r="B10" s="4" t="s">
        <v>97</v>
      </c>
      <c r="C10" s="4" t="s">
        <v>98</v>
      </c>
      <c r="D10" s="4" t="s">
        <v>99</v>
      </c>
      <c r="E10" s="4" t="s">
        <v>100</v>
      </c>
      <c r="F10" s="4" t="n">
        <v>1</v>
      </c>
      <c r="G10" s="4" t="s">
        <v>101</v>
      </c>
      <c r="H10" s="5" t="s">
        <v>102</v>
      </c>
      <c r="I10" s="5" t="s">
        <v>103</v>
      </c>
      <c r="J10" s="7" t="n">
        <v>0.19</v>
      </c>
      <c r="K10" s="7" t="n">
        <f aca="false">F10*J10</f>
        <v>0.19</v>
      </c>
      <c r="L10" s="5" t="s">
        <v>44</v>
      </c>
      <c r="M10" s="5" t="s">
        <v>104</v>
      </c>
      <c r="N10" s="9" t="s">
        <v>105</v>
      </c>
      <c r="O10" s="5"/>
    </row>
    <row r="11" customFormat="false" ht="29.85" hidden="false" customHeight="false" outlineLevel="0" collapsed="false">
      <c r="A11" s="4" t="s">
        <v>106</v>
      </c>
      <c r="B11" s="4" t="s">
        <v>107</v>
      </c>
      <c r="C11" s="4" t="s">
        <v>108</v>
      </c>
      <c r="D11" s="4" t="s">
        <v>109</v>
      </c>
      <c r="E11" s="4" t="s">
        <v>110</v>
      </c>
      <c r="F11" s="4" t="n">
        <v>1</v>
      </c>
      <c r="G11" s="4" t="s">
        <v>101</v>
      </c>
      <c r="H11" s="5" t="s">
        <v>111</v>
      </c>
      <c r="I11" s="5" t="s">
        <v>112</v>
      </c>
      <c r="J11" s="7" t="n">
        <v>0.19</v>
      </c>
      <c r="K11" s="7" t="n">
        <f aca="false">F11*J11</f>
        <v>0.19</v>
      </c>
      <c r="L11" s="5" t="s">
        <v>44</v>
      </c>
      <c r="M11" s="5" t="s">
        <v>113</v>
      </c>
      <c r="N11" s="9" t="s">
        <v>114</v>
      </c>
      <c r="O11" s="5"/>
    </row>
    <row r="12" customFormat="false" ht="29.85" hidden="false" customHeight="false" outlineLevel="0" collapsed="false">
      <c r="A12" s="4" t="s">
        <v>115</v>
      </c>
      <c r="B12" s="4" t="s">
        <v>116</v>
      </c>
      <c r="C12" s="4" t="s">
        <v>117</v>
      </c>
      <c r="D12" s="4" t="s">
        <v>118</v>
      </c>
      <c r="E12" s="4" t="s">
        <v>119</v>
      </c>
      <c r="F12" s="4" t="n">
        <v>1</v>
      </c>
      <c r="G12" s="4" t="s">
        <v>101</v>
      </c>
      <c r="H12" s="5" t="s">
        <v>120</v>
      </c>
      <c r="I12" s="5" t="s">
        <v>121</v>
      </c>
      <c r="J12" s="7" t="n">
        <v>0.41</v>
      </c>
      <c r="K12" s="7" t="n">
        <f aca="false">F12*J12</f>
        <v>0.41</v>
      </c>
      <c r="L12" s="5" t="s">
        <v>44</v>
      </c>
      <c r="M12" s="5" t="s">
        <v>122</v>
      </c>
      <c r="N12" s="9" t="s">
        <v>123</v>
      </c>
      <c r="O12" s="5" t="s">
        <v>124</v>
      </c>
    </row>
    <row r="13" customFormat="false" ht="29.85" hidden="false" customHeight="false" outlineLevel="0" collapsed="false">
      <c r="A13" s="4" t="s">
        <v>125</v>
      </c>
      <c r="B13" s="4" t="s">
        <v>126</v>
      </c>
      <c r="C13" s="4" t="s">
        <v>127</v>
      </c>
      <c r="D13" s="4" t="s">
        <v>128</v>
      </c>
      <c r="E13" s="4" t="s">
        <v>129</v>
      </c>
      <c r="F13" s="4" t="n">
        <v>1</v>
      </c>
      <c r="G13" s="4" t="s">
        <v>20</v>
      </c>
      <c r="H13" s="5" t="s">
        <v>130</v>
      </c>
      <c r="I13" s="5" t="s">
        <v>131</v>
      </c>
      <c r="J13" s="7" t="n">
        <v>0.14</v>
      </c>
      <c r="K13" s="7" t="n">
        <f aca="false">F13*J13</f>
        <v>0.14</v>
      </c>
      <c r="L13" s="5" t="s">
        <v>44</v>
      </c>
      <c r="M13" s="5" t="s">
        <v>132</v>
      </c>
      <c r="N13" s="9" t="s">
        <v>133</v>
      </c>
      <c r="O13" s="5" t="s">
        <v>134</v>
      </c>
    </row>
    <row r="14" customFormat="false" ht="29.85" hidden="false" customHeight="false" outlineLevel="0" collapsed="false">
      <c r="A14" s="4" t="s">
        <v>135</v>
      </c>
      <c r="B14" s="4" t="s">
        <v>136</v>
      </c>
      <c r="C14" s="4" t="s">
        <v>137</v>
      </c>
      <c r="D14" s="4" t="s">
        <v>138</v>
      </c>
      <c r="E14" s="4" t="s">
        <v>135</v>
      </c>
      <c r="F14" s="4" t="n">
        <v>1</v>
      </c>
      <c r="G14" s="4" t="s">
        <v>139</v>
      </c>
      <c r="H14" s="5" t="s">
        <v>140</v>
      </c>
      <c r="I14" s="5" t="s">
        <v>141</v>
      </c>
      <c r="J14" s="7" t="n">
        <v>0.8</v>
      </c>
      <c r="K14" s="7" t="n">
        <f aca="false">F14*J14</f>
        <v>0.8</v>
      </c>
      <c r="L14" s="5" t="s">
        <v>44</v>
      </c>
      <c r="M14" s="5" t="s">
        <v>142</v>
      </c>
      <c r="N14" s="9" t="s">
        <v>143</v>
      </c>
      <c r="O14" s="5" t="s">
        <v>144</v>
      </c>
    </row>
    <row r="15" customFormat="false" ht="29.85" hidden="false" customHeight="false" outlineLevel="0" collapsed="false">
      <c r="A15" s="4" t="s">
        <v>145</v>
      </c>
      <c r="B15" s="4" t="s">
        <v>146</v>
      </c>
      <c r="C15" s="4" t="s">
        <v>147</v>
      </c>
      <c r="D15" s="4" t="s">
        <v>145</v>
      </c>
      <c r="E15" s="4" t="s">
        <v>148</v>
      </c>
      <c r="F15" s="4" t="n">
        <v>1</v>
      </c>
      <c r="G15" s="4" t="s">
        <v>149</v>
      </c>
      <c r="H15" s="5" t="s">
        <v>150</v>
      </c>
      <c r="I15" s="5" t="s">
        <v>151</v>
      </c>
      <c r="J15" s="6" t="n">
        <v>0.35</v>
      </c>
      <c r="K15" s="7" t="n">
        <f aca="false">F15*J15</f>
        <v>0.35</v>
      </c>
      <c r="L15" s="8" t="s">
        <v>22</v>
      </c>
      <c r="M15" s="5"/>
      <c r="N15" s="9" t="s">
        <v>152</v>
      </c>
      <c r="O15" s="5" t="s">
        <v>153</v>
      </c>
    </row>
    <row r="16" customFormat="false" ht="29.85" hidden="false" customHeight="false" outlineLevel="0" collapsed="false">
      <c r="A16" s="4" t="s">
        <v>154</v>
      </c>
      <c r="B16" s="4" t="s">
        <v>155</v>
      </c>
      <c r="C16" s="4" t="s">
        <v>156</v>
      </c>
      <c r="D16" s="4" t="s">
        <v>154</v>
      </c>
      <c r="E16" s="4" t="s">
        <v>157</v>
      </c>
      <c r="F16" s="4" t="n">
        <v>1</v>
      </c>
      <c r="G16" s="4" t="s">
        <v>149</v>
      </c>
      <c r="H16" s="5" t="s">
        <v>158</v>
      </c>
      <c r="I16" s="5" t="s">
        <v>159</v>
      </c>
      <c r="J16" s="6" t="n">
        <v>0.25</v>
      </c>
      <c r="K16" s="7" t="n">
        <f aca="false">F16*J16</f>
        <v>0.25</v>
      </c>
      <c r="L16" s="8" t="s">
        <v>22</v>
      </c>
      <c r="M16" s="5"/>
      <c r="N16" s="9" t="s">
        <v>160</v>
      </c>
      <c r="O16" s="5" t="s">
        <v>161</v>
      </c>
    </row>
    <row r="17" customFormat="false" ht="29.85" hidden="false" customHeight="false" outlineLevel="0" collapsed="false">
      <c r="A17" s="4" t="s">
        <v>162</v>
      </c>
      <c r="B17" s="4" t="s">
        <v>163</v>
      </c>
      <c r="C17" s="4" t="s">
        <v>164</v>
      </c>
      <c r="D17" s="4" t="s">
        <v>165</v>
      </c>
      <c r="E17" s="4" t="s">
        <v>166</v>
      </c>
      <c r="F17" s="4" t="n">
        <v>1</v>
      </c>
      <c r="G17" s="4" t="s">
        <v>167</v>
      </c>
      <c r="H17" s="5" t="s">
        <v>168</v>
      </c>
      <c r="I17" s="5" t="s">
        <v>169</v>
      </c>
      <c r="J17" s="6" t="n">
        <v>3.9</v>
      </c>
      <c r="K17" s="7" t="n">
        <f aca="false">F17*J17</f>
        <v>3.9</v>
      </c>
      <c r="L17" s="8" t="s">
        <v>170</v>
      </c>
      <c r="M17" s="5" t="s">
        <v>171</v>
      </c>
      <c r="N17" s="9" t="s">
        <v>172</v>
      </c>
      <c r="O17" s="5" t="s">
        <v>173</v>
      </c>
    </row>
    <row r="18" customFormat="false" ht="44" hidden="false" customHeight="false" outlineLevel="0" collapsed="false">
      <c r="A18" s="4" t="s">
        <v>174</v>
      </c>
      <c r="B18" s="4" t="s">
        <v>175</v>
      </c>
      <c r="C18" s="4" t="s">
        <v>176</v>
      </c>
      <c r="D18" s="4" t="s">
        <v>177</v>
      </c>
      <c r="E18" s="4" t="s">
        <v>178</v>
      </c>
      <c r="F18" s="4" t="n">
        <v>1</v>
      </c>
      <c r="G18" s="4" t="s">
        <v>179</v>
      </c>
      <c r="H18" s="5" t="s">
        <v>180</v>
      </c>
      <c r="I18" s="5" t="s">
        <v>181</v>
      </c>
      <c r="J18" s="6" t="n">
        <v>0.55</v>
      </c>
      <c r="K18" s="7" t="n">
        <f aca="false">F18*J18</f>
        <v>0.55</v>
      </c>
      <c r="L18" s="8" t="s">
        <v>22</v>
      </c>
      <c r="M18" s="5"/>
      <c r="N18" s="9" t="s">
        <v>182</v>
      </c>
      <c r="O18" s="5" t="s">
        <v>183</v>
      </c>
    </row>
    <row r="19" customFormat="false" ht="29.85" hidden="false" customHeight="false" outlineLevel="0" collapsed="false">
      <c r="A19" s="4" t="s">
        <v>184</v>
      </c>
      <c r="B19" s="4" t="s">
        <v>185</v>
      </c>
      <c r="C19" s="4" t="s">
        <v>186</v>
      </c>
      <c r="D19" s="4" t="s">
        <v>187</v>
      </c>
      <c r="E19" s="4" t="s">
        <v>188</v>
      </c>
      <c r="F19" s="4" t="n">
        <v>1</v>
      </c>
      <c r="G19" s="4" t="s">
        <v>20</v>
      </c>
      <c r="H19" s="5" t="s">
        <v>189</v>
      </c>
      <c r="I19" s="5" t="s">
        <v>190</v>
      </c>
      <c r="J19" s="6" t="n">
        <v>0.5</v>
      </c>
      <c r="K19" s="7" t="n">
        <f aca="false">F19*J19</f>
        <v>0.5</v>
      </c>
      <c r="L19" s="8" t="s">
        <v>191</v>
      </c>
      <c r="M19" s="5" t="s">
        <v>192</v>
      </c>
      <c r="N19" s="9" t="s">
        <v>193</v>
      </c>
      <c r="O19" s="5" t="s">
        <v>194</v>
      </c>
    </row>
    <row r="20" customFormat="false" ht="29.85" hidden="false" customHeight="false" outlineLevel="0" collapsed="false">
      <c r="A20" s="4" t="s">
        <v>195</v>
      </c>
      <c r="B20" s="4" t="s">
        <v>196</v>
      </c>
      <c r="C20" s="4" t="s">
        <v>197</v>
      </c>
      <c r="D20" s="4" t="s">
        <v>198</v>
      </c>
      <c r="E20" s="4" t="s">
        <v>199</v>
      </c>
      <c r="F20" s="4" t="n">
        <v>1</v>
      </c>
      <c r="G20" s="4" t="s">
        <v>200</v>
      </c>
      <c r="H20" s="5" t="s">
        <v>201</v>
      </c>
      <c r="I20" s="5" t="s">
        <v>202</v>
      </c>
      <c r="J20" s="7" t="n">
        <v>0.49</v>
      </c>
      <c r="K20" s="7" t="n">
        <f aca="false">F20*J20</f>
        <v>0.49</v>
      </c>
      <c r="L20" s="5" t="s">
        <v>44</v>
      </c>
      <c r="M20" s="5" t="s">
        <v>203</v>
      </c>
      <c r="N20" s="9" t="s">
        <v>204</v>
      </c>
      <c r="O20" s="5"/>
    </row>
    <row r="21" customFormat="false" ht="44" hidden="false" customHeight="false" outlineLevel="0" collapsed="false">
      <c r="A21" s="4" t="s">
        <v>205</v>
      </c>
      <c r="B21" s="4" t="s">
        <v>206</v>
      </c>
      <c r="C21" s="4" t="s">
        <v>207</v>
      </c>
      <c r="D21" s="4" t="s">
        <v>208</v>
      </c>
      <c r="E21" s="4" t="s">
        <v>209</v>
      </c>
      <c r="F21" s="4" t="n">
        <v>1</v>
      </c>
      <c r="G21" s="4" t="s">
        <v>210</v>
      </c>
      <c r="H21" s="5" t="s">
        <v>211</v>
      </c>
      <c r="I21" s="5" t="s">
        <v>212</v>
      </c>
      <c r="J21" s="7" t="n">
        <v>0.41</v>
      </c>
      <c r="K21" s="7" t="n">
        <f aca="false">F21*J21</f>
        <v>0.41</v>
      </c>
      <c r="L21" s="5" t="s">
        <v>44</v>
      </c>
      <c r="M21" s="5" t="s">
        <v>213</v>
      </c>
      <c r="N21" s="9" t="s">
        <v>214</v>
      </c>
      <c r="O21" s="5"/>
    </row>
    <row r="22" customFormat="false" ht="29.85" hidden="false" customHeight="false" outlineLevel="0" collapsed="false">
      <c r="A22" s="4" t="s">
        <v>215</v>
      </c>
      <c r="B22" s="4" t="s">
        <v>216</v>
      </c>
      <c r="C22" s="4" t="s">
        <v>217</v>
      </c>
      <c r="D22" s="4" t="s">
        <v>218</v>
      </c>
      <c r="E22" s="4" t="s">
        <v>219</v>
      </c>
      <c r="F22" s="4" t="n">
        <v>1</v>
      </c>
      <c r="G22" s="4" t="s">
        <v>220</v>
      </c>
      <c r="H22" s="5" t="s">
        <v>221</v>
      </c>
      <c r="I22" s="5" t="s">
        <v>222</v>
      </c>
      <c r="J22" s="6" t="n">
        <v>0.1</v>
      </c>
      <c r="K22" s="7" t="n">
        <f aca="false">F22*J22</f>
        <v>0.1</v>
      </c>
      <c r="L22" s="8" t="s">
        <v>223</v>
      </c>
      <c r="M22" s="5"/>
      <c r="N22" s="9" t="s">
        <v>224</v>
      </c>
      <c r="O22" s="5" t="s">
        <v>225</v>
      </c>
    </row>
    <row r="23" customFormat="false" ht="29.85" hidden="false" customHeight="false" outlineLevel="0" collapsed="false">
      <c r="A23" s="4" t="s">
        <v>226</v>
      </c>
      <c r="B23" s="4" t="s">
        <v>227</v>
      </c>
      <c r="C23" s="4" t="s">
        <v>228</v>
      </c>
      <c r="D23" s="4" t="s">
        <v>218</v>
      </c>
      <c r="E23" s="4" t="s">
        <v>229</v>
      </c>
      <c r="F23" s="4" t="n">
        <v>3</v>
      </c>
      <c r="G23" s="4" t="s">
        <v>220</v>
      </c>
      <c r="H23" s="5" t="s">
        <v>230</v>
      </c>
      <c r="I23" s="5" t="s">
        <v>231</v>
      </c>
      <c r="J23" s="6" t="n">
        <v>0.1</v>
      </c>
      <c r="K23" s="7" t="n">
        <f aca="false">F23*J23</f>
        <v>0.3</v>
      </c>
      <c r="L23" s="8" t="s">
        <v>223</v>
      </c>
      <c r="M23" s="5"/>
      <c r="N23" s="9" t="s">
        <v>232</v>
      </c>
      <c r="O23" s="5" t="s">
        <v>233</v>
      </c>
    </row>
    <row r="24" customFormat="false" ht="29.85" hidden="false" customHeight="false" outlineLevel="0" collapsed="false">
      <c r="A24" s="4" t="s">
        <v>234</v>
      </c>
      <c r="B24" s="4" t="s">
        <v>235</v>
      </c>
      <c r="C24" s="4" t="s">
        <v>236</v>
      </c>
      <c r="D24" s="4" t="s">
        <v>237</v>
      </c>
      <c r="E24" s="4" t="s">
        <v>238</v>
      </c>
      <c r="F24" s="4" t="n">
        <v>2</v>
      </c>
      <c r="G24" s="4" t="s">
        <v>220</v>
      </c>
      <c r="H24" s="5" t="s">
        <v>239</v>
      </c>
      <c r="I24" s="5" t="s">
        <v>240</v>
      </c>
      <c r="J24" s="6" t="n">
        <v>0.1</v>
      </c>
      <c r="K24" s="7" t="n">
        <f aca="false">F24*J24</f>
        <v>0.2</v>
      </c>
      <c r="L24" s="8" t="s">
        <v>223</v>
      </c>
      <c r="M24" s="5"/>
      <c r="N24" s="9" t="s">
        <v>241</v>
      </c>
      <c r="O24" s="5" t="s">
        <v>233</v>
      </c>
    </row>
    <row r="25" customFormat="false" ht="29.85" hidden="false" customHeight="false" outlineLevel="0" collapsed="false">
      <c r="A25" s="4" t="s">
        <v>242</v>
      </c>
      <c r="B25" s="4" t="s">
        <v>243</v>
      </c>
      <c r="C25" s="4" t="s">
        <v>244</v>
      </c>
      <c r="D25" s="4" t="s">
        <v>245</v>
      </c>
      <c r="E25" s="4" t="s">
        <v>246</v>
      </c>
      <c r="F25" s="4" t="n">
        <v>2</v>
      </c>
      <c r="G25" s="4" t="s">
        <v>220</v>
      </c>
      <c r="H25" s="5" t="s">
        <v>247</v>
      </c>
      <c r="I25" s="5" t="s">
        <v>248</v>
      </c>
      <c r="J25" s="6" t="n">
        <v>0.1</v>
      </c>
      <c r="K25" s="7" t="n">
        <f aca="false">F25*J25</f>
        <v>0.2</v>
      </c>
      <c r="L25" s="8" t="s">
        <v>249</v>
      </c>
      <c r="M25" s="5" t="s">
        <v>250</v>
      </c>
      <c r="N25" s="9" t="s">
        <v>251</v>
      </c>
      <c r="O25" s="5" t="s">
        <v>252</v>
      </c>
    </row>
    <row r="26" customFormat="false" ht="29.85" hidden="false" customHeight="false" outlineLevel="0" collapsed="false">
      <c r="A26" s="4" t="s">
        <v>253</v>
      </c>
      <c r="B26" s="4" t="s">
        <v>254</v>
      </c>
      <c r="C26" s="4" t="s">
        <v>255</v>
      </c>
      <c r="D26" s="4" t="s">
        <v>256</v>
      </c>
      <c r="E26" s="4" t="s">
        <v>257</v>
      </c>
      <c r="F26" s="4" t="n">
        <v>2</v>
      </c>
      <c r="G26" s="4" t="s">
        <v>220</v>
      </c>
      <c r="H26" s="5" t="s">
        <v>258</v>
      </c>
      <c r="I26" s="5" t="s">
        <v>259</v>
      </c>
      <c r="J26" s="6" t="n">
        <v>0.1</v>
      </c>
      <c r="K26" s="7" t="n">
        <f aca="false">F26*J26</f>
        <v>0.2</v>
      </c>
      <c r="L26" s="8" t="s">
        <v>223</v>
      </c>
      <c r="M26" s="5"/>
      <c r="N26" s="9" t="s">
        <v>260</v>
      </c>
      <c r="O26" s="5" t="s">
        <v>233</v>
      </c>
    </row>
    <row r="27" customFormat="false" ht="29.85" hidden="false" customHeight="false" outlineLevel="0" collapsed="false">
      <c r="A27" s="4" t="s">
        <v>261</v>
      </c>
      <c r="B27" s="4" t="s">
        <v>262</v>
      </c>
      <c r="C27" s="4" t="s">
        <v>263</v>
      </c>
      <c r="D27" s="4" t="s">
        <v>264</v>
      </c>
      <c r="E27" s="4" t="s">
        <v>265</v>
      </c>
      <c r="F27" s="4" t="n">
        <v>6</v>
      </c>
      <c r="G27" s="4" t="s">
        <v>220</v>
      </c>
      <c r="H27" s="5" t="s">
        <v>266</v>
      </c>
      <c r="I27" s="5" t="s">
        <v>267</v>
      </c>
      <c r="J27" s="6" t="n">
        <v>0.1</v>
      </c>
      <c r="K27" s="7" t="n">
        <f aca="false">F27*J27</f>
        <v>0.6</v>
      </c>
      <c r="L27" s="8" t="s">
        <v>223</v>
      </c>
      <c r="M27" s="5"/>
      <c r="N27" s="9" t="s">
        <v>268</v>
      </c>
      <c r="O27" s="5" t="s">
        <v>233</v>
      </c>
    </row>
    <row r="28" customFormat="false" ht="29.85" hidden="false" customHeight="false" outlineLevel="0" collapsed="false">
      <c r="A28" s="4" t="s">
        <v>269</v>
      </c>
      <c r="B28" s="4" t="s">
        <v>270</v>
      </c>
      <c r="C28" s="4" t="s">
        <v>271</v>
      </c>
      <c r="D28" s="4" t="s">
        <v>256</v>
      </c>
      <c r="E28" s="4" t="s">
        <v>272</v>
      </c>
      <c r="F28" s="4" t="n">
        <v>1</v>
      </c>
      <c r="G28" s="4" t="s">
        <v>220</v>
      </c>
      <c r="H28" s="5" t="s">
        <v>273</v>
      </c>
      <c r="I28" s="5" t="s">
        <v>274</v>
      </c>
      <c r="J28" s="6" t="n">
        <v>0.1</v>
      </c>
      <c r="K28" s="7" t="n">
        <f aca="false">F28*J28</f>
        <v>0.1</v>
      </c>
      <c r="L28" s="8" t="s">
        <v>223</v>
      </c>
      <c r="M28" s="5"/>
      <c r="N28" s="9" t="s">
        <v>275</v>
      </c>
      <c r="O28" s="5" t="s">
        <v>233</v>
      </c>
    </row>
    <row r="29" customFormat="false" ht="29.85" hidden="false" customHeight="false" outlineLevel="0" collapsed="false">
      <c r="A29" s="4" t="s">
        <v>276</v>
      </c>
      <c r="B29" s="4" t="s">
        <v>277</v>
      </c>
      <c r="C29" s="4" t="s">
        <v>278</v>
      </c>
      <c r="D29" s="4" t="s">
        <v>245</v>
      </c>
      <c r="E29" s="4" t="s">
        <v>279</v>
      </c>
      <c r="F29" s="4" t="n">
        <v>2</v>
      </c>
      <c r="G29" s="4" t="s">
        <v>220</v>
      </c>
      <c r="H29" s="5" t="s">
        <v>280</v>
      </c>
      <c r="I29" s="5" t="s">
        <v>281</v>
      </c>
      <c r="J29" s="6" t="n">
        <v>0.1</v>
      </c>
      <c r="K29" s="7" t="n">
        <f aca="false">F29*J29</f>
        <v>0.2</v>
      </c>
      <c r="L29" s="8" t="s">
        <v>223</v>
      </c>
      <c r="M29" s="5"/>
      <c r="N29" s="9" t="s">
        <v>282</v>
      </c>
      <c r="O29" s="5" t="s">
        <v>233</v>
      </c>
    </row>
    <row r="30" customFormat="false" ht="29.85" hidden="false" customHeight="false" outlineLevel="0" collapsed="false">
      <c r="A30" s="4" t="s">
        <v>283</v>
      </c>
      <c r="B30" s="4" t="s">
        <v>284</v>
      </c>
      <c r="C30" s="4" t="s">
        <v>285</v>
      </c>
      <c r="D30" s="4" t="s">
        <v>286</v>
      </c>
      <c r="E30" s="4" t="s">
        <v>287</v>
      </c>
      <c r="F30" s="4" t="n">
        <v>1</v>
      </c>
      <c r="G30" s="4" t="s">
        <v>220</v>
      </c>
      <c r="H30" s="5" t="s">
        <v>288</v>
      </c>
      <c r="I30" s="5" t="s">
        <v>289</v>
      </c>
      <c r="J30" s="6" t="n">
        <v>0.1</v>
      </c>
      <c r="K30" s="7" t="n">
        <f aca="false">F30*J30</f>
        <v>0.1</v>
      </c>
      <c r="L30" s="8" t="s">
        <v>223</v>
      </c>
      <c r="M30" s="5"/>
      <c r="N30" s="9" t="s">
        <v>290</v>
      </c>
      <c r="O30" s="5" t="s">
        <v>233</v>
      </c>
    </row>
    <row r="31" customFormat="false" ht="29.85" hidden="false" customHeight="false" outlineLevel="0" collapsed="false">
      <c r="A31" s="4" t="s">
        <v>291</v>
      </c>
      <c r="B31" s="4" t="s">
        <v>292</v>
      </c>
      <c r="C31" s="4" t="s">
        <v>293</v>
      </c>
      <c r="D31" s="4" t="s">
        <v>294</v>
      </c>
      <c r="E31" s="4" t="s">
        <v>295</v>
      </c>
      <c r="F31" s="4" t="n">
        <v>1</v>
      </c>
      <c r="G31" s="4" t="s">
        <v>296</v>
      </c>
      <c r="H31" s="5" t="s">
        <v>297</v>
      </c>
      <c r="I31" s="5" t="s">
        <v>298</v>
      </c>
      <c r="J31" s="7" t="n">
        <v>0.81</v>
      </c>
      <c r="K31" s="7" t="n">
        <f aca="false">F31*J31</f>
        <v>0.81</v>
      </c>
      <c r="L31" s="5" t="s">
        <v>44</v>
      </c>
      <c r="M31" s="5" t="s">
        <v>299</v>
      </c>
      <c r="N31" s="9" t="s">
        <v>300</v>
      </c>
      <c r="O31" s="5"/>
    </row>
    <row r="32" customFormat="false" ht="29.85" hidden="false" customHeight="false" outlineLevel="0" collapsed="false">
      <c r="A32" s="4" t="s">
        <v>301</v>
      </c>
      <c r="B32" s="4" t="s">
        <v>302</v>
      </c>
      <c r="C32" s="4" t="s">
        <v>303</v>
      </c>
      <c r="D32" s="4" t="s">
        <v>304</v>
      </c>
      <c r="E32" s="4" t="s">
        <v>305</v>
      </c>
      <c r="F32" s="4" t="n">
        <v>3</v>
      </c>
      <c r="G32" s="4" t="s">
        <v>306</v>
      </c>
      <c r="H32" s="5" t="s">
        <v>307</v>
      </c>
      <c r="I32" s="5" t="s">
        <v>308</v>
      </c>
      <c r="J32" s="7" t="n">
        <v>1.12</v>
      </c>
      <c r="K32" s="7" t="n">
        <f aca="false">F32*J32</f>
        <v>3.36</v>
      </c>
      <c r="L32" s="5" t="s">
        <v>44</v>
      </c>
      <c r="M32" s="5" t="s">
        <v>309</v>
      </c>
      <c r="N32" s="9" t="s">
        <v>310</v>
      </c>
      <c r="O32" s="5"/>
    </row>
    <row r="33" customFormat="false" ht="44" hidden="false" customHeight="false" outlineLevel="0" collapsed="false">
      <c r="A33" s="4" t="s">
        <v>311</v>
      </c>
      <c r="B33" s="4" t="s">
        <v>312</v>
      </c>
      <c r="C33" s="4" t="s">
        <v>313</v>
      </c>
      <c r="D33" s="4" t="s">
        <v>314</v>
      </c>
      <c r="E33" s="4" t="s">
        <v>315</v>
      </c>
      <c r="F33" s="4" t="n">
        <v>1</v>
      </c>
      <c r="G33" s="4" t="s">
        <v>316</v>
      </c>
      <c r="H33" s="5" t="s">
        <v>317</v>
      </c>
      <c r="I33" s="5" t="s">
        <v>318</v>
      </c>
      <c r="J33" s="7" t="n">
        <v>2.69</v>
      </c>
      <c r="K33" s="7" t="n">
        <f aca="false">F33*J33</f>
        <v>2.69</v>
      </c>
      <c r="L33" s="5" t="s">
        <v>44</v>
      </c>
      <c r="M33" s="5" t="s">
        <v>319</v>
      </c>
      <c r="N33" s="9" t="s">
        <v>320</v>
      </c>
      <c r="O33" s="5" t="s">
        <v>321</v>
      </c>
    </row>
    <row r="34" customFormat="false" ht="29.85" hidden="false" customHeight="false" outlineLevel="0" collapsed="false">
      <c r="A34" s="4" t="s">
        <v>322</v>
      </c>
      <c r="B34" s="4" t="s">
        <v>323</v>
      </c>
      <c r="C34" s="4" t="s">
        <v>324</v>
      </c>
      <c r="D34" s="4" t="s">
        <v>325</v>
      </c>
      <c r="E34" s="4" t="s">
        <v>322</v>
      </c>
      <c r="F34" s="4" t="n">
        <v>1</v>
      </c>
      <c r="G34" s="4" t="s">
        <v>326</v>
      </c>
      <c r="H34" s="5" t="s">
        <v>327</v>
      </c>
      <c r="I34" s="5" t="s">
        <v>328</v>
      </c>
      <c r="J34" s="7" t="n">
        <v>0.54</v>
      </c>
      <c r="K34" s="7" t="n">
        <f aca="false">F34*J34</f>
        <v>0.54</v>
      </c>
      <c r="L34" s="5" t="s">
        <v>44</v>
      </c>
      <c r="M34" s="5" t="s">
        <v>329</v>
      </c>
      <c r="N34" s="9" t="s">
        <v>330</v>
      </c>
      <c r="O34" s="5"/>
    </row>
    <row r="35" customFormat="false" ht="44" hidden="false" customHeight="false" outlineLevel="0" collapsed="false">
      <c r="A35" s="4" t="s">
        <v>331</v>
      </c>
      <c r="B35" s="4" t="s">
        <v>332</v>
      </c>
      <c r="C35" s="4" t="s">
        <v>333</v>
      </c>
      <c r="D35" s="4" t="s">
        <v>334</v>
      </c>
      <c r="E35" s="4" t="s">
        <v>335</v>
      </c>
      <c r="F35" s="4" t="n">
        <v>1</v>
      </c>
      <c r="G35" s="4" t="s">
        <v>326</v>
      </c>
      <c r="H35" s="5" t="s">
        <v>336</v>
      </c>
      <c r="I35" s="5" t="s">
        <v>337</v>
      </c>
      <c r="J35" s="6" t="n">
        <v>17.88</v>
      </c>
      <c r="K35" s="7" t="n">
        <f aca="false">F35*J35</f>
        <v>17.88</v>
      </c>
      <c r="L35" s="8" t="s">
        <v>338</v>
      </c>
      <c r="M35" s="5"/>
      <c r="N35" s="9" t="s">
        <v>339</v>
      </c>
      <c r="O35" s="5" t="s">
        <v>340</v>
      </c>
    </row>
    <row r="36" customFormat="false" ht="29.85" hidden="false" customHeight="false" outlineLevel="0" collapsed="false">
      <c r="A36" s="4" t="s">
        <v>341</v>
      </c>
      <c r="B36" s="4" t="s">
        <v>342</v>
      </c>
      <c r="C36" s="4" t="s">
        <v>343</v>
      </c>
      <c r="D36" s="4" t="s">
        <v>344</v>
      </c>
      <c r="E36" s="4" t="s">
        <v>345</v>
      </c>
      <c r="F36" s="4" t="n">
        <v>1</v>
      </c>
      <c r="G36" s="4" t="s">
        <v>326</v>
      </c>
      <c r="H36" s="5" t="s">
        <v>346</v>
      </c>
      <c r="I36" s="5" t="s">
        <v>347</v>
      </c>
      <c r="J36" s="7" t="n">
        <v>5.3</v>
      </c>
      <c r="K36" s="7" t="n">
        <f aca="false">F36*J36</f>
        <v>5.3</v>
      </c>
      <c r="L36" s="5" t="s">
        <v>44</v>
      </c>
      <c r="M36" s="5" t="s">
        <v>348</v>
      </c>
      <c r="N36" s="9" t="s">
        <v>349</v>
      </c>
      <c r="O36" s="5"/>
    </row>
    <row r="37" customFormat="false" ht="29.85" hidden="false" customHeight="false" outlineLevel="0" collapsed="false">
      <c r="A37" s="4" t="s">
        <v>350</v>
      </c>
      <c r="B37" s="4" t="s">
        <v>351</v>
      </c>
      <c r="C37" s="4" t="s">
        <v>352</v>
      </c>
      <c r="D37" s="4" t="s">
        <v>353</v>
      </c>
      <c r="E37" s="4" t="s">
        <v>354</v>
      </c>
      <c r="F37" s="4" t="n">
        <v>1</v>
      </c>
      <c r="G37" s="4" t="s">
        <v>355</v>
      </c>
      <c r="H37" s="5" t="s">
        <v>356</v>
      </c>
      <c r="I37" s="5" t="s">
        <v>357</v>
      </c>
      <c r="J37" s="7" t="n">
        <v>4</v>
      </c>
      <c r="K37" s="7" t="n">
        <f aca="false">F37*J37</f>
        <v>4</v>
      </c>
      <c r="L37" s="5" t="s">
        <v>44</v>
      </c>
      <c r="M37" s="5" t="s">
        <v>358</v>
      </c>
      <c r="N37" s="9" t="s">
        <v>359</v>
      </c>
      <c r="O37" s="5"/>
    </row>
    <row r="38" customFormat="false" ht="29.85" hidden="false" customHeight="false" outlineLevel="0" collapsed="false">
      <c r="A38" s="4" t="s">
        <v>360</v>
      </c>
      <c r="B38" s="4" t="s">
        <v>361</v>
      </c>
      <c r="C38" s="4" t="s">
        <v>362</v>
      </c>
      <c r="D38" s="4" t="s">
        <v>363</v>
      </c>
      <c r="E38" s="4" t="s">
        <v>364</v>
      </c>
      <c r="F38" s="4" t="n">
        <v>1</v>
      </c>
      <c r="G38" s="4" t="s">
        <v>365</v>
      </c>
      <c r="H38" s="5" t="s">
        <v>366</v>
      </c>
      <c r="I38" s="5" t="s">
        <v>367</v>
      </c>
      <c r="J38" s="7" t="n">
        <v>0.86</v>
      </c>
      <c r="K38" s="7" t="n">
        <f aca="false">F38*J38</f>
        <v>0.86</v>
      </c>
      <c r="L38" s="5" t="s">
        <v>44</v>
      </c>
      <c r="M38" s="5" t="s">
        <v>368</v>
      </c>
      <c r="N38" s="9" t="s">
        <v>369</v>
      </c>
      <c r="O38" s="5"/>
    </row>
    <row r="39" customFormat="false" ht="29.85" hidden="false" customHeight="false" outlineLevel="0" collapsed="false">
      <c r="A39" s="4" t="s">
        <v>370</v>
      </c>
      <c r="B39" s="4" t="s">
        <v>371</v>
      </c>
      <c r="C39" s="4" t="s">
        <v>372</v>
      </c>
      <c r="D39" s="4" t="s">
        <v>373</v>
      </c>
      <c r="E39" s="4" t="s">
        <v>374</v>
      </c>
      <c r="F39" s="4" t="n">
        <v>1</v>
      </c>
      <c r="G39" s="4" t="s">
        <v>365</v>
      </c>
      <c r="H39" s="5" t="s">
        <v>375</v>
      </c>
      <c r="I39" s="5" t="s">
        <v>376</v>
      </c>
      <c r="J39" s="7" t="n">
        <v>0.54</v>
      </c>
      <c r="K39" s="7" t="n">
        <f aca="false">F39*J39</f>
        <v>0.54</v>
      </c>
      <c r="L39" s="5" t="s">
        <v>44</v>
      </c>
      <c r="M39" s="5" t="s">
        <v>377</v>
      </c>
      <c r="N39" s="9" t="s">
        <v>378</v>
      </c>
      <c r="O39" s="5" t="s">
        <v>379</v>
      </c>
    </row>
    <row r="41" customFormat="false" ht="15" hidden="false" customHeight="false" outlineLevel="0" collapsed="false">
      <c r="E41" s="10" t="s">
        <v>380</v>
      </c>
      <c r="F41" s="10" t="n">
        <f aca="false">SUM(F2:F39)</f>
        <v>74</v>
      </c>
      <c r="K41" s="11" t="n">
        <f aca="false">SUM(K2:K39)</f>
        <v>52.11</v>
      </c>
    </row>
    <row r="42" customFormat="false" ht="15" hidden="false" customHeight="false" outlineLevel="0" collapsed="false">
      <c r="A42" s="12" t="s">
        <v>381</v>
      </c>
    </row>
  </sheetData>
  <autoFilter ref="A1:O39"/>
  <hyperlinks>
    <hyperlink ref="N2" r:id="rId1" display="https://www.mouser.com/c/?q=GRM219R61E475KA73D"/>
    <hyperlink ref="N3" r:id="rId2" display="https://www.mouser.com/c/?q=GRM21BZ71E106KE15K"/>
    <hyperlink ref="N4" r:id="rId3" display="https://www.mouser.com/c/?q=CC0603KRX7R9BB104"/>
    <hyperlink ref="N5" r:id="rId4" display="https://www.mouser.com/c/?q=C0402C829D5GACTU"/>
    <hyperlink ref="N6" r:id="rId5" display="https://www.mouser.com/c/?q=CC0603KRX7R7BB225"/>
    <hyperlink ref="N7" r:id="rId6" display="https://www.mouser.com/c/?q=C0402C100C5GACTU"/>
    <hyperlink ref="N8" r:id="rId7" display="https://www.mouser.com/c/?q=GCM188R71E105KA64D"/>
    <hyperlink ref="N9" r:id="rId8" display="https://www.mouser.com/c/?q=B5819W"/>
    <hyperlink ref="N10" r:id="rId9" display="https://www.mouser.com/c/?q=APT1608SGC"/>
    <hyperlink ref="N11" r:id="rId10" display="https://www.mouser.com/c/?q=APT1608EC"/>
    <hyperlink ref="N12" r:id="rId11" display="https://www.mouser.com/c/?q=APT1608QBC/D"/>
    <hyperlink ref="N13" r:id="rId12" display="https://www.mouser.com/c/?q=BLM18PG221SH1D"/>
    <hyperlink ref="N14" r:id="rId13" display="https://www.mouser.com/c/?q=USB4105-GF-A"/>
    <hyperlink ref="N15" r:id="rId14" display="https://www.mouser.com/c/?q=61300611121"/>
    <hyperlink ref="N16" r:id="rId15" display="https://www.mouser.com/c/?q=61300411121"/>
    <hyperlink ref="N17" r:id="rId16" display="https://www.mouser.com/c/?q=DM3AT-SF-PEJM5"/>
    <hyperlink ref="N18" r:id="rId17" display="https://www.mouser.com/c/?q=VLS3012HBX-2R2M"/>
    <hyperlink ref="N19" r:id="rId18" display="https://www.mouser.com/c/?q=LQM21PN2R2MGHL"/>
    <hyperlink ref="N20" r:id="rId19" display="https://www.mouser.com/c/?q=S2B-PH-SM4-TB%28LF%29%28SN%29"/>
    <hyperlink ref="N21" r:id="rId20" display="https://www.mouser.com/c/?q=DMG2305UX-13"/>
    <hyperlink ref="N22" r:id="rId21" display="https://www.mouser.com/c/?q=RC0603FR-07100RL"/>
    <hyperlink ref="N23" r:id="rId22" display="https://www.mouser.com/c/?q=RC0603FR-07100KL"/>
    <hyperlink ref="N24" r:id="rId23" display="https://www.mouser.com/c/?q=RC0603FR-075K1L"/>
    <hyperlink ref="N25" r:id="rId24" display="https://www.mouser.com/c/?q=RC0603FR-0710KL"/>
    <hyperlink ref="N26" r:id="rId25" display="https://www.mouser.com/c/?q=RC0603FR-074K7L"/>
    <hyperlink ref="N27" r:id="rId26" display="https://www.mouser.com/c/?q=RC0603FR-0747KL"/>
    <hyperlink ref="N28" r:id="rId27" display="https://www.mouser.com/c/?q=RC0603FR-0733RL"/>
    <hyperlink ref="N29" r:id="rId28" display="https://www.mouser.com/c/?q=RC0603FR-071KL"/>
    <hyperlink ref="N30" r:id="rId29" display="https://www.mouser.com/c/?q=RT0603FRE07330RL"/>
    <hyperlink ref="N31" r:id="rId30" display="https://www.mouser.com/c/?q=JS102011SAQN"/>
    <hyperlink ref="N32" r:id="rId31" display="https://www.mouser.com/c/?q=B3U-1000P"/>
    <hyperlink ref="N33" r:id="rId32" display="https://www.mouser.com/c/?q=TPS63001DRCRG4"/>
    <hyperlink ref="N34" r:id="rId33" display="https://www.mouser.com/c/?q=USBLC6-2SC6"/>
    <hyperlink ref="N35" r:id="rId34" display="https://www.mouser.com/c/?q=STM32U5A5RJT6Q"/>
    <hyperlink ref="N36" r:id="rId35" display="https://www.mouser.com/c/?q=LSM6DSOXTR"/>
    <hyperlink ref="N37" r:id="rId36" display="https://www.mouser.com/c/?q=BME280"/>
    <hyperlink ref="N38" r:id="rId37" display="https://www.mouser.com/c/?q=ABS07-32.768KHZ-7-T"/>
    <hyperlink ref="N39" r:id="rId38" display="https://www.mouser.com/c/?q=ABM11W-16.0000MHZ-8-K1Z-T3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2026-10-19T23:31:18Z</dcterms:created>
  <dc:creator>Carlos Eduardo Oliveira</dc:creator>
  <dc:description/>
  <dc:language>en-US</dc:language>
  <cp:lastModifiedBy>Carlos Eduardo Oliveira</cp:lastModifiedBy>
  <dcterms:modified xsi:type="dcterms:W3CDTF">2026-10-25T01:07:53Z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